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yele Lopes\Desktop\APP-do-amor\Conteúdo\"/>
    </mc:Choice>
  </mc:AlternateContent>
  <xr:revisionPtr revIDLastSave="0" documentId="13_ncr:1_{535AA9AE-A46D-4CBE-87B7-E0108DB7D77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isão Geral" sheetId="1" r:id="rId1"/>
    <sheet name="Roteiro Forms" sheetId="2" r:id="rId2"/>
    <sheet name="Opções" sheetId="3" r:id="rId3"/>
    <sheet name="Mapa de análise" sheetId="4" r:id="rId4"/>
    <sheet name="Checklist Forms" sheetId="5" r:id="rId5"/>
    <sheet name="Respostas pilo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9" i="1" l="1"/>
</calcChain>
</file>

<file path=xl/sharedStrings.xml><?xml version="1.0" encoding="utf-8"?>
<sst xmlns="http://schemas.openxmlformats.org/spreadsheetml/2006/main" count="961" uniqueCount="494">
  <si>
    <t>PESQUISA RÁPIDA COM CASAIS — PROPOSTA V2</t>
  </si>
  <si>
    <t/>
  </si>
  <si>
    <t>Projeto</t>
  </si>
  <si>
    <t>App do Amor / Conectadois</t>
  </si>
  <si>
    <t>Versão</t>
  </si>
  <si>
    <t>2.0 — proposta para aprovação</t>
  </si>
  <si>
    <t>Atualizado em</t>
  </si>
  <si>
    <t>11/09/2026</t>
  </si>
  <si>
    <t>Objetivo</t>
  </si>
  <si>
    <t>Entender hábitos de conexão, barreiras, formatos desejados e limites para orientar o conteúdo e a experiência do produto.</t>
  </si>
  <si>
    <t>Aplicação</t>
  </si>
  <si>
    <t>Individual. Cada integrante responde separadamente; respostas individuais não são mostradas à pessoa parceira.</t>
  </si>
  <si>
    <t>Tempo esperado</t>
  </si>
  <si>
    <t>8–10 minutos</t>
  </si>
  <si>
    <t>Público</t>
  </si>
  <si>
    <t>Pessoas com 18 anos ou mais, em relacionamento há pelo menos 6 meses.</t>
  </si>
  <si>
    <t>Privacidade</t>
  </si>
  <si>
    <t>Usar somente código. Não coletar nome, e-mail ou telefone. Contatos de recrutamento ficam em base separada.</t>
  </si>
  <si>
    <t>Natureza</t>
  </si>
  <si>
    <t>Pesquisa de produto. Não é terapia, diagnóstico ou avaliação do relacionamento.</t>
  </si>
  <si>
    <t>COMPOSIÇÃO</t>
  </si>
  <si>
    <t>VALOR</t>
  </si>
  <si>
    <t>LEITURA</t>
  </si>
  <si>
    <t>Total de perguntas</t>
  </si>
  <si>
    <t>inclui consentimento e triagem</t>
  </si>
  <si>
    <t>Escolha única</t>
  </si>
  <si>
    <t>resposta rápida</t>
  </si>
  <si>
    <t>Caixas de seleção</t>
  </si>
  <si>
    <t>permite múltiplas respostas</t>
  </si>
  <si>
    <t>Respostas abertas</t>
  </si>
  <si>
    <t>curtas e focadas</t>
  </si>
  <si>
    <t>Perguntas obrigatórias</t>
  </si>
  <si>
    <t>somente duas são opcionais</t>
  </si>
  <si>
    <t>Itens aguardando aprovação</t>
  </si>
  <si>
    <t>revisar antes de montar o Forms</t>
  </si>
  <si>
    <t>% obrigatório</t>
  </si>
  <si>
    <t>equilíbrio entre completude e fluidez</t>
  </si>
  <si>
    <t>FLUXO</t>
  </si>
  <si>
    <t>SEÇÕES</t>
  </si>
  <si>
    <t>TEMPO</t>
  </si>
  <si>
    <t>1</t>
  </si>
  <si>
    <t>Antes de começar</t>
  </si>
  <si>
    <t>menos de 1 min</t>
  </si>
  <si>
    <t>consentimento e elegibilidade</t>
  </si>
  <si>
    <t>2</t>
  </si>
  <si>
    <t>Sobre vocês</t>
  </si>
  <si>
    <t>1 min</t>
  </si>
  <si>
    <t>segmentação mínima sem dados identificáveis</t>
  </si>
  <si>
    <t>3</t>
  </si>
  <si>
    <t>Conexão no dia a dia</t>
  </si>
  <si>
    <t>2 min</t>
  </si>
  <si>
    <t>episódio real, motivadores e barreira</t>
  </si>
  <si>
    <t>4</t>
  </si>
  <si>
    <t>Experiências atuais</t>
  </si>
  <si>
    <t>uso anterior e abandono com ramificação</t>
  </si>
  <si>
    <t>5</t>
  </si>
  <si>
    <t>Experiência ideal</t>
  </si>
  <si>
    <t>formato, duração, ocasião, modo e profundidade</t>
  </si>
  <si>
    <t>6</t>
  </si>
  <si>
    <t>Conteúdo e cuidado</t>
  </si>
  <si>
    <t>temas e consentimento bilateral</t>
  </si>
  <si>
    <t>7</t>
  </si>
  <si>
    <t>Teste rápido de conceito</t>
  </si>
  <si>
    <t>preferência, valor e intenção</t>
  </si>
  <si>
    <t>8</t>
  </si>
  <si>
    <t>Fechamento</t>
  </si>
  <si>
    <t>pergunta sugerida e risco de abandono</t>
  </si>
  <si>
    <t>CRITÉRIOS DE APROVAÇÃO</t>
  </si>
  <si>
    <t>Conteúdo</t>
  </si>
  <si>
    <t>Perguntas claras, inclusivas, neutras e úteis para decisões de produto.</t>
  </si>
  <si>
    <t>Experiência</t>
  </si>
  <si>
    <t>Preenchimento completo em até 10 minutos no celular.</t>
  </si>
  <si>
    <t>Segurança</t>
  </si>
  <si>
    <t>Saída para não consentimento ou menoridade, temas sensíveis com opt-in e opção de pular itens não essenciais.</t>
  </si>
  <si>
    <t>Dados</t>
  </si>
  <si>
    <t>Código em vez de nome e nenhuma coleta automática de e-mail.</t>
  </si>
  <si>
    <t>ID</t>
  </si>
  <si>
    <t>Seção</t>
  </si>
  <si>
    <t>Ordem</t>
  </si>
  <si>
    <t>Pergunta</t>
  </si>
  <si>
    <t>Tipo no Forms</t>
  </si>
  <si>
    <t>Obrigatória</t>
  </si>
  <si>
    <t>Opções / escala</t>
  </si>
  <si>
    <t>Limite / instrução</t>
  </si>
  <si>
    <t>Lógica de navegação</t>
  </si>
  <si>
    <t>Texto de apoio</t>
  </si>
  <si>
    <t>Objetivo de pesquisa</t>
  </si>
  <si>
    <t>Tag de análise</t>
  </si>
  <si>
    <t>Status</t>
  </si>
  <si>
    <t>Q01</t>
  </si>
  <si>
    <t>Sim</t>
  </si>
  <si>
    <t>Escolha uma opção</t>
  </si>
  <si>
    <t>Proposta para aprovação</t>
  </si>
  <si>
    <t>Q02</t>
  </si>
  <si>
    <t>Você tem 18 anos ou mais?</t>
  </si>
  <si>
    <t>Q03</t>
  </si>
  <si>
    <t>Qual é o seu código de participante?</t>
  </si>
  <si>
    <t>Resposta curta</t>
  </si>
  <si>
    <t>perfil</t>
  </si>
  <si>
    <t>Q04</t>
  </si>
  <si>
    <t>Há quanto tempo vocês estão juntos?</t>
  </si>
  <si>
    <t>De 6 meses a 2 anos|De 3 a 5 anos|De 6 a 10 anos|Mais de 10 anos</t>
  </si>
  <si>
    <t>Segmentar por duração do relacionamento</t>
  </si>
  <si>
    <t>Q05</t>
  </si>
  <si>
    <t>Quais situações fazem parte da vida de vocês hoje?</t>
  </si>
  <si>
    <t>Marcar todas as aplicáveis</t>
  </si>
  <si>
    <t>Contextualizar rotina e fase de vida</t>
  </si>
  <si>
    <t>Q06</t>
  </si>
  <si>
    <t>Nos últimos 7 dias, quantas vezes vocês tiveram um momento de qualidade a dois, mesmo que curto?</t>
  </si>
  <si>
    <t>Nenhuma|1 vez|2 ou 3 vezes|4 vezes ou mais|Não sei dizer</t>
  </si>
  <si>
    <t>Não usar como avaliação da qualidade da relação</t>
  </si>
  <si>
    <t>Considere um momento com atenção e presença, não apenas estar no mesmo lugar.</t>
  </si>
  <si>
    <t>Estimar frequência recente de conexão</t>
  </si>
  <si>
    <t>hábito</t>
  </si>
  <si>
    <t>Q07</t>
  </si>
  <si>
    <t>Pense no último momento em que você se sentiu realmente conectado(a) à pessoa parceira. O que vocês estavam fazendo?</t>
  </si>
  <si>
    <t>Resposta longa</t>
  </si>
  <si>
    <t>Responder em 1 ou 2 frases. Não incluir nomes ou detalhes de terceiros</t>
  </si>
  <si>
    <t>Pode ser algo simples e cotidiano.</t>
  </si>
  <si>
    <t>Capturar episódio real e ocasião de uso</t>
  </si>
  <si>
    <t>episódio</t>
  </si>
  <si>
    <t>Q08</t>
  </si>
  <si>
    <t>O que mais ajudou naquele momento?</t>
  </si>
  <si>
    <t>Tempo sem pressa|Conversa boa|Risos e leveza|Carinho ou toque|Fazer algo novo|Resolver algo juntos|Sentir-se ouvido(a)|Outro</t>
  </si>
  <si>
    <t>Escolher até 3 opções</t>
  </si>
  <si>
    <t>Identificar gatilhos de conexão</t>
  </si>
  <si>
    <t>motivador</t>
  </si>
  <si>
    <t>Q09</t>
  </si>
  <si>
    <t>Hoje, o que mais atrapalha vocês a criarem esses momentos?</t>
  </si>
  <si>
    <t>Falta de tempo|Cansaço|Celular ou outras telas|Rotina repetitiva|Dificuldade para começar uma conversa|Horários diferentes ou distância|Tensão ou assuntos pendentes|Nada atrapalha muito|Outro</t>
  </si>
  <si>
    <t>Escolha a principal opção</t>
  </si>
  <si>
    <t>Priorizar barreira dominante</t>
  </si>
  <si>
    <t>barreira</t>
  </si>
  <si>
    <t>Q10</t>
  </si>
  <si>
    <t>Vocês já usaram jogos de perguntas, baralhos, vídeos ou aplicativos para fazer algo a dois?</t>
  </si>
  <si>
    <t>Sim, usamos atualmente|Sim, mas paramos|Experimentamos uma ou duas vezes|Nunca usamos</t>
  </si>
  <si>
    <t>Se Nunca usamos, pular Q11 e seguir para Q12</t>
  </si>
  <si>
    <t>Mapear familiaridade e abandono</t>
  </si>
  <si>
    <t>alternativas</t>
  </si>
  <si>
    <t>Q11</t>
  </si>
  <si>
    <t>Pensando na experiência mais recente, o que funcionou bem e o que cansou ou incomodou?</t>
  </si>
  <si>
    <t>Não</t>
  </si>
  <si>
    <t>Responder em até 3 frases</t>
  </si>
  <si>
    <t>Exibir somente se Q10 for diferente de Nunca usamos</t>
  </si>
  <si>
    <t>Evite informar o nome do produto se preferir.</t>
  </si>
  <si>
    <t>Entender atrativos e motivos de abandono</t>
  </si>
  <si>
    <t>Q12</t>
  </si>
  <si>
    <t>Que formatos fariam você ter mais vontade de participar?</t>
  </si>
  <si>
    <t>Escolher entre opções rápidas|Tentar adivinhar a resposta da outra pessoa|Responder em segredo e revelar depois|Contar uma história ou lembrança|Encontrar escolhas em comum|Cumprir um desafio curto|Fazer um pequeno gesto</t>
  </si>
  <si>
    <t>Priorizar mecânicas desejadas</t>
  </si>
  <si>
    <t>formato</t>
  </si>
  <si>
    <t>Q13</t>
  </si>
  <si>
    <t>Quanto tempo seria ideal para uma experiência em um dia comum?</t>
  </si>
  <si>
    <t>Até 3 minutos|De 4 a 5 minutos|De 6 a 10 minutos|De 11 a 15 minutos|Mais de 15 minutos</t>
  </si>
  <si>
    <t>Definir duração prometida</t>
  </si>
  <si>
    <t>duração</t>
  </si>
  <si>
    <t>Q14</t>
  </si>
  <si>
    <t>Em qual momento seria mais natural usar o aplicativo?</t>
  </si>
  <si>
    <t>Durante o dia, à distância|No fim do dia|Durante uma refeição ou café|Em um encontro|No fim de semana|Quando surgir vontade, sem horário fixo|Outro</t>
  </si>
  <si>
    <t>Identificar ocasião de uso</t>
  </si>
  <si>
    <t>ocasião</t>
  </si>
  <si>
    <t>Q15</t>
  </si>
  <si>
    <t>Como vocês prefeririam participar?</t>
  </si>
  <si>
    <t>Cada pessoa no próprio celular|Os dois no mesmo celular|Começar no celular e continuar conversando sem tela|Somente conversando, com o celular como guia|Depende da atividade</t>
  </si>
  <si>
    <t>Definir configuração de participação</t>
  </si>
  <si>
    <t>modo</t>
  </si>
  <si>
    <t>Q16</t>
  </si>
  <si>
    <t>Como as perguntas deveriam evoluir?</t>
  </si>
  <si>
    <t>Sempre leves e divertidas|Começar leves e aprofundar aos poucos|Escolher a profundidade antes de começar|Misturar níveis de forma surpresa|Depende do momento</t>
  </si>
  <si>
    <t>Definir progressão de profundidade</t>
  </si>
  <si>
    <t>profundidade</t>
  </si>
  <si>
    <t>Q17</t>
  </si>
  <si>
    <t>Sobre quais temas você teria mais curiosidade de conversar de um jeito leve?</t>
  </si>
  <si>
    <t>Gostos e preferências|Nossa história|Rotina e tempo de qualidade|Carinho e formas de demonstrar amor|Sonhos e planos|Viagens e experiências|Família e filhos|Valores e visão de mundo|Dinheiro e prioridades|Intimidade e desejo|Outro</t>
  </si>
  <si>
    <t>Priorizar temas de conteúdo</t>
  </si>
  <si>
    <t>tema</t>
  </si>
  <si>
    <t>Q18</t>
  </si>
  <si>
    <t>Quais temas só deveriam aparecer quando as duas pessoas escolhessem participar?</t>
  </si>
  <si>
    <t>Dinheiro|Família e filhos|Conflitos e pedidos de desculpa|Religião ou espiritualidade|Corpo, desejo e sexo|Saúde emocional|Planos de longo prazo|Nenhum desses|Outro</t>
  </si>
  <si>
    <t>Marcar todas as aplicáveis. Nenhum desses deve ser exclusivo com outra opção</t>
  </si>
  <si>
    <t>Mapear necessidades de consentimento bilateral</t>
  </si>
  <si>
    <t>segurança</t>
  </si>
  <si>
    <t>Q19</t>
  </si>
  <si>
    <t>Qual destas experiências você teria mais vontade de testar primeiro?</t>
  </si>
  <si>
    <t>Descoberta relâmpago — os dois respondem e revelam juntos|Adivinha de mim — uma pessoa tenta prever a resposta da outra|Nossa história — cada pessoa conta sua versão de uma lembrança|Match de planos — o app revela apenas escolhas em comum|Pequeno gesto — uma descoberta vira uma ação carinhosa</t>
  </si>
  <si>
    <t>Priorizar proposta de experiência</t>
  </si>
  <si>
    <t>conceito</t>
  </si>
  <si>
    <t>Q20</t>
  </si>
  <si>
    <t>O que deveria acontecer no final para a experiência valer a pena?</t>
  </si>
  <si>
    <t>Descobrir algo novo|Dar risada|Continuar conversando sem o celular|Escolher um plano para fazer juntos|Receber uma sugestão personalizada|Trocar um gesto de carinho|Outro</t>
  </si>
  <si>
    <t>Definir desfecho de valor</t>
  </si>
  <si>
    <t>resultado</t>
  </si>
  <si>
    <t>Q21</t>
  </si>
  <si>
    <t>Q22</t>
  </si>
  <si>
    <t>Qual é o principal motivo da sua nota?</t>
  </si>
  <si>
    <t>Responder em uma frase</t>
  </si>
  <si>
    <t>Q23</t>
  </si>
  <si>
    <t>Que pergunta você gostaria de ver sua pessoa parceira responder no aplicativo?</t>
  </si>
  <si>
    <t>Escrever uma pergunta. Não inclua algo que exponha terceiros</t>
  </si>
  <si>
    <t>Gerar insumos de conteúdo na voz do público</t>
  </si>
  <si>
    <t>conteúdo</t>
  </si>
  <si>
    <t>Q24</t>
  </si>
  <si>
    <t>O que faria você abandonar ou apagar o aplicativo?</t>
  </si>
  <si>
    <t>Identificar limite crítico e risco de rejeição</t>
  </si>
  <si>
    <t>risco</t>
  </si>
  <si>
    <t>Pergunta ID</t>
  </si>
  <si>
    <t>Ordem da opção</t>
  </si>
  <si>
    <t>Opção</t>
  </si>
  <si>
    <t>Destino / regra</t>
  </si>
  <si>
    <t>Valor para análise</t>
  </si>
  <si>
    <t>De 6 meses a 2 anos</t>
  </si>
  <si>
    <t>Q04-1</t>
  </si>
  <si>
    <t>De 3 a 5 anos</t>
  </si>
  <si>
    <t>Q04-2</t>
  </si>
  <si>
    <t>De 6 a 10 anos</t>
  </si>
  <si>
    <t>Q04-3</t>
  </si>
  <si>
    <t>Mais de 10 anos</t>
  </si>
  <si>
    <t>Q04-4</t>
  </si>
  <si>
    <t>Moramos juntos</t>
  </si>
  <si>
    <t>Q05-1</t>
  </si>
  <si>
    <t>Não moramos juntos</t>
  </si>
  <si>
    <t>Q05-2</t>
  </si>
  <si>
    <t>Vivemos um relacionamento à distância</t>
  </si>
  <si>
    <t>Q05-3</t>
  </si>
  <si>
    <t>Temos filhos</t>
  </si>
  <si>
    <t>Q05-4</t>
  </si>
  <si>
    <t>Cuidamos regularmente de outras pessoas</t>
  </si>
  <si>
    <t>Q05-5</t>
  </si>
  <si>
    <t>Estamos passando por uma grande mudança</t>
  </si>
  <si>
    <t>Q05-6</t>
  </si>
  <si>
    <t>Nenhuma dessas</t>
  </si>
  <si>
    <t>Q05-7</t>
  </si>
  <si>
    <t>Nenhuma</t>
  </si>
  <si>
    <t>Q06-1</t>
  </si>
  <si>
    <t>1 vez</t>
  </si>
  <si>
    <t>Q06-2</t>
  </si>
  <si>
    <t>2 ou 3 vezes</t>
  </si>
  <si>
    <t>Q06-3</t>
  </si>
  <si>
    <t>4 vezes ou mais</t>
  </si>
  <si>
    <t>Q06-4</t>
  </si>
  <si>
    <t>Não sei dizer</t>
  </si>
  <si>
    <t>Q06-5</t>
  </si>
  <si>
    <t>Tempo sem pressa</t>
  </si>
  <si>
    <t>Q08-1</t>
  </si>
  <si>
    <t>Conversa boa</t>
  </si>
  <si>
    <t>Q08-2</t>
  </si>
  <si>
    <t>Risos e leveza</t>
  </si>
  <si>
    <t>Q08-3</t>
  </si>
  <si>
    <t>Carinho ou toque</t>
  </si>
  <si>
    <t>Q08-4</t>
  </si>
  <si>
    <t>Fazer algo novo</t>
  </si>
  <si>
    <t>Q08-5</t>
  </si>
  <si>
    <t>Resolver algo juntos</t>
  </si>
  <si>
    <t>Q08-6</t>
  </si>
  <si>
    <t>Sentir-se ouvido(a)</t>
  </si>
  <si>
    <t>Q08-7</t>
  </si>
  <si>
    <t>Outro</t>
  </si>
  <si>
    <t>Q08-8</t>
  </si>
  <si>
    <t>Falta de tempo</t>
  </si>
  <si>
    <t>Q09-1</t>
  </si>
  <si>
    <t>Cansaço</t>
  </si>
  <si>
    <t>Q09-2</t>
  </si>
  <si>
    <t>Celular ou outras telas</t>
  </si>
  <si>
    <t>Q09-3</t>
  </si>
  <si>
    <t>Rotina repetitiva</t>
  </si>
  <si>
    <t>Q09-4</t>
  </si>
  <si>
    <t>Dificuldade para começar uma conversa</t>
  </si>
  <si>
    <t>Q09-5</t>
  </si>
  <si>
    <t>Horários diferentes ou distância</t>
  </si>
  <si>
    <t>Q09-6</t>
  </si>
  <si>
    <t>Tensão ou assuntos pendentes</t>
  </si>
  <si>
    <t>Q09-7</t>
  </si>
  <si>
    <t>Nada atrapalha muito</t>
  </si>
  <si>
    <t>Q09-8</t>
  </si>
  <si>
    <t>Q09-9</t>
  </si>
  <si>
    <t>Sim, usamos atualmente</t>
  </si>
  <si>
    <t>Q10-1</t>
  </si>
  <si>
    <t>Sim, mas paramos</t>
  </si>
  <si>
    <t>Q10-2</t>
  </si>
  <si>
    <t>Experimentamos uma ou duas vezes</t>
  </si>
  <si>
    <t>Q10-3</t>
  </si>
  <si>
    <t>Nunca usamos</t>
  </si>
  <si>
    <t>Ir para Q12</t>
  </si>
  <si>
    <t>Q10-4</t>
  </si>
  <si>
    <t>Escolher entre opções rápidas</t>
  </si>
  <si>
    <t>Q12-1</t>
  </si>
  <si>
    <t>Tentar adivinhar a resposta da outra pessoa</t>
  </si>
  <si>
    <t>Q12-2</t>
  </si>
  <si>
    <t>Responder em segredo e revelar depois</t>
  </si>
  <si>
    <t>Q12-3</t>
  </si>
  <si>
    <t>Contar uma história ou lembrança</t>
  </si>
  <si>
    <t>Q12-4</t>
  </si>
  <si>
    <t>Encontrar escolhas em comum</t>
  </si>
  <si>
    <t>Q12-5</t>
  </si>
  <si>
    <t>Cumprir um desafio curto</t>
  </si>
  <si>
    <t>Q12-6</t>
  </si>
  <si>
    <t>Fazer um pequeno gesto</t>
  </si>
  <si>
    <t>Q12-7</t>
  </si>
  <si>
    <t>Até 3 minutos</t>
  </si>
  <si>
    <t>Q13-1</t>
  </si>
  <si>
    <t>De 4 a 5 minutos</t>
  </si>
  <si>
    <t>Q13-2</t>
  </si>
  <si>
    <t>De 6 a 10 minutos</t>
  </si>
  <si>
    <t>Q13-3</t>
  </si>
  <si>
    <t>De 11 a 15 minutos</t>
  </si>
  <si>
    <t>Q13-4</t>
  </si>
  <si>
    <t>Mais de 15 minutos</t>
  </si>
  <si>
    <t>Q13-5</t>
  </si>
  <si>
    <t>Durante o dia, à distância</t>
  </si>
  <si>
    <t>Q14-1</t>
  </si>
  <si>
    <t>No fim do dia</t>
  </si>
  <si>
    <t>Q14-2</t>
  </si>
  <si>
    <t>Durante uma refeição ou café</t>
  </si>
  <si>
    <t>Q14-3</t>
  </si>
  <si>
    <t>Em um encontro</t>
  </si>
  <si>
    <t>Q14-4</t>
  </si>
  <si>
    <t>No fim de semana</t>
  </si>
  <si>
    <t>Q14-5</t>
  </si>
  <si>
    <t>Quando surgir vontade, sem horário fixo</t>
  </si>
  <si>
    <t>Q14-6</t>
  </si>
  <si>
    <t>Q14-7</t>
  </si>
  <si>
    <t>Cada pessoa no próprio celular</t>
  </si>
  <si>
    <t>Q15-1</t>
  </si>
  <si>
    <t>Os dois no mesmo celular</t>
  </si>
  <si>
    <t>Q15-2</t>
  </si>
  <si>
    <t>Começar no celular e continuar conversando sem tela</t>
  </si>
  <si>
    <t>Q15-3</t>
  </si>
  <si>
    <t>Somente conversando, com o celular como guia</t>
  </si>
  <si>
    <t>Q15-4</t>
  </si>
  <si>
    <t>Depende da atividade</t>
  </si>
  <si>
    <t>Q15-5</t>
  </si>
  <si>
    <t>Sempre leves e divertidas</t>
  </si>
  <si>
    <t>Q16-1</t>
  </si>
  <si>
    <t>Começar leves e aprofundar aos poucos</t>
  </si>
  <si>
    <t>Q16-2</t>
  </si>
  <si>
    <t>Escolher a profundidade antes de começar</t>
  </si>
  <si>
    <t>Q16-3</t>
  </si>
  <si>
    <t>Misturar níveis de forma surpresa</t>
  </si>
  <si>
    <t>Q16-4</t>
  </si>
  <si>
    <t>Depende do momento</t>
  </si>
  <si>
    <t>Q16-5</t>
  </si>
  <si>
    <t>Gostos e preferências</t>
  </si>
  <si>
    <t>Q17-1</t>
  </si>
  <si>
    <t>Nossa história</t>
  </si>
  <si>
    <t>Q17-2</t>
  </si>
  <si>
    <t>Rotina e tempo de qualidade</t>
  </si>
  <si>
    <t>Q17-3</t>
  </si>
  <si>
    <t>Carinho e formas de demonstrar amor</t>
  </si>
  <si>
    <t>Q17-4</t>
  </si>
  <si>
    <t>Sonhos e planos</t>
  </si>
  <si>
    <t>Q17-5</t>
  </si>
  <si>
    <t>Viagens e experiências</t>
  </si>
  <si>
    <t>Q17-6</t>
  </si>
  <si>
    <t>Família e filhos</t>
  </si>
  <si>
    <t>Q17-7</t>
  </si>
  <si>
    <t>Valores e visão de mundo</t>
  </si>
  <si>
    <t>Q17-8</t>
  </si>
  <si>
    <t>Dinheiro e prioridades</t>
  </si>
  <si>
    <t>Q17-9</t>
  </si>
  <si>
    <t>Intimidade e desejo</t>
  </si>
  <si>
    <t>Q17-10</t>
  </si>
  <si>
    <t>Q17-11</t>
  </si>
  <si>
    <t>Dinheiro</t>
  </si>
  <si>
    <t>Q18-1</t>
  </si>
  <si>
    <t>Q18-2</t>
  </si>
  <si>
    <t>Conflitos e pedidos de desculpa</t>
  </si>
  <si>
    <t>Q18-3</t>
  </si>
  <si>
    <t>Religião ou espiritualidade</t>
  </si>
  <si>
    <t>Q18-4</t>
  </si>
  <si>
    <t>Corpo, desejo e sexo</t>
  </si>
  <si>
    <t>Q18-5</t>
  </si>
  <si>
    <t>Saúde emocional</t>
  </si>
  <si>
    <t>Q18-6</t>
  </si>
  <si>
    <t>Planos de longo prazo</t>
  </si>
  <si>
    <t>Q18-7</t>
  </si>
  <si>
    <t>Nenhum desses</t>
  </si>
  <si>
    <t>Q18-8</t>
  </si>
  <si>
    <t>Q18-9</t>
  </si>
  <si>
    <t>Descoberta relâmpago — os dois respondem e revelam juntos</t>
  </si>
  <si>
    <t>Q19-1</t>
  </si>
  <si>
    <t>Adivinha de mim — uma pessoa tenta prever a resposta da outra</t>
  </si>
  <si>
    <t>Q19-2</t>
  </si>
  <si>
    <t>Nossa história — cada pessoa conta sua versão de uma lembrança</t>
  </si>
  <si>
    <t>Q19-3</t>
  </si>
  <si>
    <t>Match de planos — o app revela apenas escolhas em comum</t>
  </si>
  <si>
    <t>Q19-4</t>
  </si>
  <si>
    <t>Pequeno gesto — uma descoberta vira uma ação carinhosa</t>
  </si>
  <si>
    <t>Q19-5</t>
  </si>
  <si>
    <t>Descobrir algo novo</t>
  </si>
  <si>
    <t>Q20-1</t>
  </si>
  <si>
    <t>Dar risada</t>
  </si>
  <si>
    <t>Q20-2</t>
  </si>
  <si>
    <t>Continuar conversando sem o celular</t>
  </si>
  <si>
    <t>Q20-3</t>
  </si>
  <si>
    <t>Escolher um plano para fazer juntos</t>
  </si>
  <si>
    <t>Q20-4</t>
  </si>
  <si>
    <t>Receber uma sugestão personalizada</t>
  </si>
  <si>
    <t>Q20-5</t>
  </si>
  <si>
    <t>Trocar um gesto de carinho</t>
  </si>
  <si>
    <t>Q20-6</t>
  </si>
  <si>
    <t>Q20-7</t>
  </si>
  <si>
    <t>TAG</t>
  </si>
  <si>
    <t>QUESTÕES</t>
  </si>
  <si>
    <t>O QUE SINTETIZAR</t>
  </si>
  <si>
    <t>DECISÃO APOIADA</t>
  </si>
  <si>
    <t>Q03–Q05</t>
  </si>
  <si>
    <t>Tempo de relação e contextos de vida, sempre de forma agregada</t>
  </si>
  <si>
    <t>Segmentos e diversidade da amostra</t>
  </si>
  <si>
    <t>episódio e hábito</t>
  </si>
  <si>
    <t>Q06–Q07</t>
  </si>
  <si>
    <t>Ocasiões reais e frequência recente</t>
  </si>
  <si>
    <t>Momentos de entrada e promessas realistas</t>
  </si>
  <si>
    <t>motivador e barreira</t>
  </si>
  <si>
    <t>Q08–Q09</t>
  </si>
  <si>
    <t>Gatilhos de conexão e principal obstáculo</t>
  </si>
  <si>
    <t>Tom, convites e contexto das atividades</t>
  </si>
  <si>
    <t>Q10–Q11</t>
  </si>
  <si>
    <t>O que funciona, cansa ou gera abandono</t>
  </si>
  <si>
    <t>Diferenciação e prevenção de rejeição</t>
  </si>
  <si>
    <t>formato, duração e modo</t>
  </si>
  <si>
    <t>Q12–Q16</t>
  </si>
  <si>
    <t>Mecânicas, tempo, ocasião, telas e progressão</t>
  </si>
  <si>
    <t>Configuração do primeiro piloto</t>
  </si>
  <si>
    <t>tema e segurança</t>
  </si>
  <si>
    <t>Q17–Q18</t>
  </si>
  <si>
    <t>Temas desejados e necessidade de consentimento bilateral</t>
  </si>
  <si>
    <t>Prioridade editorial e regras de opt-in</t>
  </si>
  <si>
    <t>conceito, resultado e intenção</t>
  </si>
  <si>
    <t>Q19–Q22</t>
  </si>
  <si>
    <t>Conceito preferido, desfecho e motivo da nota</t>
  </si>
  <si>
    <t>Escolha da proposta e hipótese de recorrência</t>
  </si>
  <si>
    <t>conteúdo e risco</t>
  </si>
  <si>
    <t>Q23–Q24</t>
  </si>
  <si>
    <t>Perguntas na voz do público e limites críticos</t>
  </si>
  <si>
    <t>Banco editorial e critérios de exclusão</t>
  </si>
  <si>
    <t>REGRAS DE LEITURA</t>
  </si>
  <si>
    <t>Não somar notas como prova de validação. Cruzar Q21 com Q22 e comportamentos relatados.</t>
  </si>
  <si>
    <t>Não interpretar respostas individuais como avaliação da qualidade do relacionamento.</t>
  </si>
  <si>
    <t>Anonimizar exemplos e remover detalhes identificáveis de participantes ou terceiros.</t>
  </si>
  <si>
    <t>Comparar segmentos somente com volume suficiente para evitar reidentificação.</t>
  </si>
  <si>
    <t>Registrar contradições e casos extremos, não apenas a resposta mais frequente.</t>
  </si>
  <si>
    <t>CONFIGURAÇÃO PARA O FORMS</t>
  </si>
  <si>
    <t>CRITÉRIO DE ACEITE</t>
  </si>
  <si>
    <t>STATUS</t>
  </si>
  <si>
    <t>F01</t>
  </si>
  <si>
    <t>Escolher a plataforma e criar 8 seções na ordem do roteiro</t>
  </si>
  <si>
    <t>Uma seção por bloco e indicador de progresso ativo</t>
  </si>
  <si>
    <t>Após aprovação</t>
  </si>
  <si>
    <t>F02</t>
  </si>
  <si>
    <t>Inserir abertura, natureza da pesquisa, privacidade e tempo</t>
  </si>
  <si>
    <t>Finalidade, duração e voluntariedade aparecem antes de Q01</t>
  </si>
  <si>
    <t>F04</t>
  </si>
  <si>
    <t>Configurar Q10 para pular Q11 quando a resposta for Nunca usamos</t>
  </si>
  <si>
    <t>A pessoa segue diretamente para Q12</t>
  </si>
  <si>
    <t>F05</t>
  </si>
  <si>
    <t>Reproduzir obrigatoriedade, opções, apoios e limites da planilha</t>
  </si>
  <si>
    <t>Formulário equivale à versão aprovada</t>
  </si>
  <si>
    <t>F06</t>
  </si>
  <si>
    <t>Desativar coleta automática de e-mail e usar somente Q03</t>
  </si>
  <si>
    <t>Exportação não contém identificadores diretos</t>
  </si>
  <si>
    <t>F07</t>
  </si>
  <si>
    <t>Desativar compartilhamento de respostas e edição pública</t>
  </si>
  <si>
    <t>Respostas restritas à equipe autorizada</t>
  </si>
  <si>
    <t>F08</t>
  </si>
  <si>
    <t>Revisar celular, contraste, foco e linguagem inclusiva</t>
  </si>
  <si>
    <t>Fluxo funciona sem zoom ou corte de opções</t>
  </si>
  <si>
    <t>F09</t>
  </si>
  <si>
    <t>Testar não consentimento, menoridade e percurso elegível</t>
  </si>
  <si>
    <t>Ramificações e obrigatoriedades funcionam</t>
  </si>
  <si>
    <t>F10</t>
  </si>
  <si>
    <t>Pilotar com duas pessoas de casais diferentes</t>
  </si>
  <si>
    <t>Tempo mediano de até 10 minutos e ajustes registrados</t>
  </si>
  <si>
    <t>Código</t>
  </si>
  <si>
    <t>Data/hora</t>
  </si>
  <si>
    <t>Preencher sem nome</t>
  </si>
  <si>
    <t>dd/mm/aaaa hh:mm</t>
  </si>
  <si>
    <t>Você leu as informações acima e aceita par…</t>
  </si>
  <si>
    <t>Quais situações fazem parte da vida de voc…</t>
  </si>
  <si>
    <t>Nos últimos 7 dias, quantas vezes vocês ti…</t>
  </si>
  <si>
    <t>Pense no último momento em que você se sen…</t>
  </si>
  <si>
    <t>Hoje, o que mais atrapalha vocês a criarem…</t>
  </si>
  <si>
    <t>Vocês já usaram jogos de perguntas, baralh…</t>
  </si>
  <si>
    <t>Pensando na experiência mais recente, o qu…</t>
  </si>
  <si>
    <t>Que formatos fariam você ter mais vontade …</t>
  </si>
  <si>
    <t>Quanto tempo seria ideal para uma experiên…</t>
  </si>
  <si>
    <t>Em qual momento seria mais natural usar o …</t>
  </si>
  <si>
    <t>Sobre quais temas você teria mais curiosid…</t>
  </si>
  <si>
    <t>Quais temas só deveriam aparecer quando as…</t>
  </si>
  <si>
    <t>Qual destas experiências você teria mais v…</t>
  </si>
  <si>
    <t>O que deveria acontecer no final para a ex…</t>
  </si>
  <si>
    <t>De 0 a 10, qual é a chance real de você co…</t>
  </si>
  <si>
    <t>Que pergunta você gostaria de ver sua pess…</t>
  </si>
  <si>
    <t>O que faria você abandonar ou apagar o apl…</t>
  </si>
  <si>
    <t>Moramos juntos|Não moramos juntos|Vivemos um relacionamento à distância|Temos filhos|Estamos passando por uma grande mudança|Nenhuma dessas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</si>
</sst>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ptos"/>
    </font>
    <font>
      <b/>
      <sz val="10"/>
      <color rgb="FFFFFFFF"/>
      <name val="Aptos"/>
    </font>
    <font>
      <b/>
      <sz val="16"/>
      <color rgb="FF3D1F3D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3D1F3D"/>
      </patternFill>
    </fill>
    <fill>
      <patternFill patternType="solid">
        <fgColor rgb="FFF3E9D7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C8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0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pane ySplit="12" topLeftCell="A29" activePane="bottomLeft" state="frozen"/>
      <selection pane="bottomLeft" activeCell="B5" sqref="B5"/>
    </sheetView>
  </sheetViews>
  <sheetFormatPr defaultRowHeight="15" x14ac:dyDescent="0.25"/>
  <cols>
    <col min="1" max="1" width="28" customWidth="1"/>
    <col min="2" max="2" width="69.85546875" customWidth="1"/>
    <col min="3" max="3" width="38" customWidth="1"/>
    <col min="4" max="4" width="52" customWidth="1"/>
  </cols>
  <sheetData>
    <row r="1" spans="1:4" ht="63" x14ac:dyDescent="0.25">
      <c r="A1" s="2" t="s">
        <v>0</v>
      </c>
      <c r="B1" s="2" t="s">
        <v>1</v>
      </c>
      <c r="C1" s="2" t="s">
        <v>1</v>
      </c>
      <c r="D1" s="2" t="s">
        <v>1</v>
      </c>
    </row>
    <row r="2" spans="1:4" ht="13.5" x14ac:dyDescent="0.25">
      <c r="A2" t="s">
        <v>2</v>
      </c>
      <c r="B2" t="s">
        <v>3</v>
      </c>
      <c r="C2" t="s">
        <v>1</v>
      </c>
      <c r="D2" t="s">
        <v>1</v>
      </c>
    </row>
    <row r="3" spans="1:4" ht="13.5" x14ac:dyDescent="0.25">
      <c r="A3" t="s">
        <v>4</v>
      </c>
      <c r="B3" t="s">
        <v>5</v>
      </c>
      <c r="C3" t="s">
        <v>1</v>
      </c>
      <c r="D3" t="s">
        <v>1</v>
      </c>
    </row>
    <row r="4" spans="1:4" ht="13.5" x14ac:dyDescent="0.25">
      <c r="A4" t="s">
        <v>6</v>
      </c>
      <c r="B4" t="s">
        <v>7</v>
      </c>
      <c r="C4" t="s">
        <v>1</v>
      </c>
      <c r="D4" t="s">
        <v>1</v>
      </c>
    </row>
    <row r="5" spans="1:4" ht="13.5" x14ac:dyDescent="0.25">
      <c r="A5" t="s">
        <v>8</v>
      </c>
      <c r="B5" t="s">
        <v>9</v>
      </c>
      <c r="C5" t="s">
        <v>1</v>
      </c>
      <c r="D5" t="s">
        <v>1</v>
      </c>
    </row>
    <row r="6" spans="1:4" ht="13.5" x14ac:dyDescent="0.25">
      <c r="A6" t="s">
        <v>10</v>
      </c>
      <c r="B6" t="s">
        <v>11</v>
      </c>
      <c r="C6" t="s">
        <v>1</v>
      </c>
      <c r="D6" t="s">
        <v>1</v>
      </c>
    </row>
    <row r="7" spans="1:4" ht="13.5" x14ac:dyDescent="0.25">
      <c r="A7" t="s">
        <v>12</v>
      </c>
      <c r="B7" t="s">
        <v>13</v>
      </c>
      <c r="C7" t="s">
        <v>1</v>
      </c>
      <c r="D7" t="s">
        <v>1</v>
      </c>
    </row>
    <row r="8" spans="1:4" ht="13.5" x14ac:dyDescent="0.25">
      <c r="A8" t="s">
        <v>14</v>
      </c>
      <c r="B8" t="s">
        <v>15</v>
      </c>
      <c r="C8" t="s">
        <v>1</v>
      </c>
      <c r="D8" t="s">
        <v>1</v>
      </c>
    </row>
    <row r="9" spans="1:4" ht="13.5" x14ac:dyDescent="0.25">
      <c r="A9" t="s">
        <v>16</v>
      </c>
      <c r="B9" t="s">
        <v>17</v>
      </c>
      <c r="C9" t="s">
        <v>1</v>
      </c>
      <c r="D9" t="s">
        <v>1</v>
      </c>
    </row>
    <row r="10" spans="1:4" ht="13.5" x14ac:dyDescent="0.25">
      <c r="A10" t="s">
        <v>18</v>
      </c>
      <c r="B10" t="s">
        <v>19</v>
      </c>
      <c r="C10" t="s">
        <v>1</v>
      </c>
      <c r="D10" t="s">
        <v>1</v>
      </c>
    </row>
    <row r="11" spans="1:4" ht="13.5" x14ac:dyDescent="0.25">
      <c r="A11" t="s">
        <v>1</v>
      </c>
      <c r="B11" t="s">
        <v>1</v>
      </c>
      <c r="C11" t="s">
        <v>1</v>
      </c>
      <c r="D11" t="s">
        <v>1</v>
      </c>
    </row>
    <row r="12" spans="1:4" ht="13.5" x14ac:dyDescent="0.25">
      <c r="A12" s="1" t="s">
        <v>20</v>
      </c>
      <c r="B12" s="1" t="s">
        <v>21</v>
      </c>
      <c r="C12" s="1" t="s">
        <v>22</v>
      </c>
      <c r="D12" s="1" t="s">
        <v>1</v>
      </c>
    </row>
    <row r="13" spans="1:4" ht="13.5" x14ac:dyDescent="0.25">
      <c r="A13" t="s">
        <v>23</v>
      </c>
      <c r="B13" s="4">
        <f>COUNTA('Roteiro Forms'!A2:A20)</f>
        <v>19</v>
      </c>
      <c r="C13" t="s">
        <v>24</v>
      </c>
      <c r="D13" t="s">
        <v>1</v>
      </c>
    </row>
    <row r="14" spans="1:4" ht="13.5" x14ac:dyDescent="0.25">
      <c r="A14" t="s">
        <v>25</v>
      </c>
      <c r="B14" s="4">
        <f>COUNTIF('Roteiro Forms'!E2:E20,"Escolha única")</f>
        <v>10</v>
      </c>
      <c r="C14" t="s">
        <v>26</v>
      </c>
      <c r="D14" t="s">
        <v>1</v>
      </c>
    </row>
    <row r="15" spans="1:4" ht="13.5" x14ac:dyDescent="0.25">
      <c r="A15" t="s">
        <v>27</v>
      </c>
      <c r="B15" s="4">
        <f>COUNTIF('Roteiro Forms'!E2:E20,"Caixas de seleção")</f>
        <v>5</v>
      </c>
      <c r="C15" t="s">
        <v>28</v>
      </c>
      <c r="D15" t="s">
        <v>1</v>
      </c>
    </row>
    <row r="16" spans="1:4" ht="13.5" x14ac:dyDescent="0.25">
      <c r="A16" t="s">
        <v>29</v>
      </c>
      <c r="B16" s="4">
        <f>COUNTIF('Roteiro Forms'!E2:E20,"Resposta curta")+COUNTIF('Roteiro Forms'!E2:E20,"Resposta longa")</f>
        <v>4</v>
      </c>
      <c r="C16" t="s">
        <v>30</v>
      </c>
      <c r="D16" t="s">
        <v>1</v>
      </c>
    </row>
    <row r="17" spans="1:4" ht="13.5" x14ac:dyDescent="0.25">
      <c r="A17" t="s">
        <v>31</v>
      </c>
      <c r="B17" s="4">
        <f>COUNTIF('Roteiro Forms'!F2:F20,"Sim")</f>
        <v>17</v>
      </c>
      <c r="C17" t="s">
        <v>32</v>
      </c>
      <c r="D17" t="s">
        <v>1</v>
      </c>
    </row>
    <row r="18" spans="1:4" ht="13.5" x14ac:dyDescent="0.25">
      <c r="A18" t="s">
        <v>33</v>
      </c>
      <c r="B18" s="4">
        <f>COUNTIF('Roteiro Forms'!M2:M20,"Proposta para aprovação")</f>
        <v>19</v>
      </c>
      <c r="C18" t="s">
        <v>34</v>
      </c>
      <c r="D18" t="s">
        <v>1</v>
      </c>
    </row>
    <row r="19" spans="1:4" ht="13.5" x14ac:dyDescent="0.25">
      <c r="A19" t="s">
        <v>35</v>
      </c>
      <c r="B19" s="3">
        <f>B17/B13</f>
        <v>0.89473684210526316</v>
      </c>
      <c r="C19" t="s">
        <v>36</v>
      </c>
      <c r="D19" t="s">
        <v>1</v>
      </c>
    </row>
    <row r="20" spans="1:4" ht="13.5" x14ac:dyDescent="0.25">
      <c r="A20" t="s">
        <v>1</v>
      </c>
      <c r="B20" t="s">
        <v>1</v>
      </c>
      <c r="C20" t="s">
        <v>1</v>
      </c>
      <c r="D20" t="s">
        <v>1</v>
      </c>
    </row>
    <row r="21" spans="1:4" ht="13.5" x14ac:dyDescent="0.25">
      <c r="A21" t="s">
        <v>37</v>
      </c>
      <c r="B21" t="s">
        <v>38</v>
      </c>
      <c r="C21" t="s">
        <v>39</v>
      </c>
      <c r="D21" t="s">
        <v>1</v>
      </c>
    </row>
    <row r="22" spans="1:4" ht="13.5" x14ac:dyDescent="0.25">
      <c r="A22" t="s">
        <v>40</v>
      </c>
      <c r="B22" t="s">
        <v>41</v>
      </c>
      <c r="C22" t="s">
        <v>42</v>
      </c>
      <c r="D22" t="s">
        <v>43</v>
      </c>
    </row>
    <row r="23" spans="1:4" ht="13.5" x14ac:dyDescent="0.25">
      <c r="A23" t="s">
        <v>44</v>
      </c>
      <c r="B23" t="s">
        <v>45</v>
      </c>
      <c r="C23" t="s">
        <v>46</v>
      </c>
      <c r="D23" t="s">
        <v>47</v>
      </c>
    </row>
    <row r="24" spans="1:4" ht="13.5" x14ac:dyDescent="0.25">
      <c r="A24" t="s">
        <v>48</v>
      </c>
      <c r="B24" t="s">
        <v>49</v>
      </c>
      <c r="C24" t="s">
        <v>50</v>
      </c>
      <c r="D24" t="s">
        <v>51</v>
      </c>
    </row>
    <row r="25" spans="1:4" ht="13.5" x14ac:dyDescent="0.25">
      <c r="A25" t="s">
        <v>52</v>
      </c>
      <c r="B25" t="s">
        <v>53</v>
      </c>
      <c r="C25" t="s">
        <v>46</v>
      </c>
      <c r="D25" t="s">
        <v>54</v>
      </c>
    </row>
    <row r="26" spans="1:4" ht="13.5" x14ac:dyDescent="0.25">
      <c r="A26" t="s">
        <v>55</v>
      </c>
      <c r="B26" t="s">
        <v>56</v>
      </c>
      <c r="C26" t="s">
        <v>50</v>
      </c>
      <c r="D26" t="s">
        <v>57</v>
      </c>
    </row>
    <row r="27" spans="1:4" ht="13.5" x14ac:dyDescent="0.25">
      <c r="A27" t="s">
        <v>58</v>
      </c>
      <c r="B27" t="s">
        <v>59</v>
      </c>
      <c r="C27" t="s">
        <v>46</v>
      </c>
      <c r="D27" t="s">
        <v>60</v>
      </c>
    </row>
    <row r="28" spans="1:4" ht="13.5" x14ac:dyDescent="0.25">
      <c r="A28" t="s">
        <v>61</v>
      </c>
      <c r="B28" t="s">
        <v>62</v>
      </c>
      <c r="C28" t="s">
        <v>50</v>
      </c>
      <c r="D28" t="s">
        <v>63</v>
      </c>
    </row>
    <row r="29" spans="1:4" ht="13.5" x14ac:dyDescent="0.25">
      <c r="A29" t="s">
        <v>64</v>
      </c>
      <c r="B29" t="s">
        <v>65</v>
      </c>
      <c r="C29" t="s">
        <v>46</v>
      </c>
      <c r="D29" t="s">
        <v>66</v>
      </c>
    </row>
    <row r="30" spans="1:4" ht="13.5" x14ac:dyDescent="0.25">
      <c r="A30" t="s">
        <v>1</v>
      </c>
      <c r="B30" t="s">
        <v>1</v>
      </c>
      <c r="C30" t="s">
        <v>1</v>
      </c>
      <c r="D30" t="s">
        <v>1</v>
      </c>
    </row>
    <row r="31" spans="1:4" ht="13.5" x14ac:dyDescent="0.25">
      <c r="A31" s="1" t="s">
        <v>67</v>
      </c>
      <c r="B31" s="1" t="s">
        <v>1</v>
      </c>
      <c r="C31" s="1" t="s">
        <v>1</v>
      </c>
      <c r="D31" s="1" t="s">
        <v>1</v>
      </c>
    </row>
    <row r="32" spans="1:4" ht="13.5" x14ac:dyDescent="0.25">
      <c r="A32" t="s">
        <v>68</v>
      </c>
      <c r="B32" t="s">
        <v>69</v>
      </c>
      <c r="C32" t="s">
        <v>1</v>
      </c>
      <c r="D32" t="s">
        <v>1</v>
      </c>
    </row>
    <row r="33" spans="1:4" ht="13.5" x14ac:dyDescent="0.25">
      <c r="A33" t="s">
        <v>70</v>
      </c>
      <c r="B33" t="s">
        <v>71</v>
      </c>
      <c r="C33" t="s">
        <v>1</v>
      </c>
      <c r="D33" t="s">
        <v>1</v>
      </c>
    </row>
    <row r="34" spans="1:4" ht="13.5" x14ac:dyDescent="0.25">
      <c r="A34" t="s">
        <v>72</v>
      </c>
      <c r="B34" t="s">
        <v>73</v>
      </c>
      <c r="C34" t="s">
        <v>1</v>
      </c>
      <c r="D34" t="s">
        <v>1</v>
      </c>
    </row>
    <row r="35" spans="1:4" ht="13.5" x14ac:dyDescent="0.25">
      <c r="A35" t="s">
        <v>74</v>
      </c>
      <c r="B35" t="s">
        <v>75</v>
      </c>
      <c r="C35" t="s">
        <v>1</v>
      </c>
      <c r="D35" t="s">
        <v>1</v>
      </c>
    </row>
  </sheetData>
  <pageMargins left="0.3" right="0.3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abSelected="1" topLeftCell="E1" zoomScale="110" zoomScaleNormal="110" workbookViewId="0">
      <pane ySplit="1" topLeftCell="A2" activePane="bottomLeft" state="frozen"/>
      <selection pane="bottomLeft" activeCell="H15" sqref="H15"/>
    </sheetView>
  </sheetViews>
  <sheetFormatPr defaultRowHeight="15" x14ac:dyDescent="0.25"/>
  <cols>
    <col min="1" max="1" width="10" customWidth="1"/>
    <col min="2" max="2" width="24" customWidth="1"/>
    <col min="3" max="3" width="8" customWidth="1"/>
    <col min="4" max="4" width="62" customWidth="1"/>
    <col min="5" max="5" width="20" customWidth="1"/>
    <col min="6" max="6" width="13" customWidth="1"/>
    <col min="7" max="7" width="55" customWidth="1"/>
    <col min="8" max="8" width="32" customWidth="1"/>
    <col min="9" max="9" width="38" customWidth="1"/>
    <col min="10" max="10" width="44" customWidth="1"/>
    <col min="11" max="11" width="45.28515625" bestFit="1" customWidth="1"/>
    <col min="12" max="12" width="18" customWidth="1"/>
    <col min="13" max="13" width="24" customWidth="1"/>
  </cols>
  <sheetData>
    <row r="1" spans="1:13" ht="13.5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</row>
    <row r="2" spans="1:13" ht="13.5" x14ac:dyDescent="0.25">
      <c r="A2" t="s">
        <v>99</v>
      </c>
      <c r="B2" t="s">
        <v>45</v>
      </c>
      <c r="C2">
        <v>4</v>
      </c>
      <c r="D2" t="s">
        <v>100</v>
      </c>
      <c r="E2" t="s">
        <v>25</v>
      </c>
      <c r="F2" t="s">
        <v>90</v>
      </c>
      <c r="G2" t="s">
        <v>101</v>
      </c>
      <c r="H2" t="s">
        <v>91</v>
      </c>
      <c r="I2" t="s">
        <v>1</v>
      </c>
      <c r="J2" t="s">
        <v>1</v>
      </c>
      <c r="K2" t="s">
        <v>102</v>
      </c>
      <c r="L2" t="s">
        <v>98</v>
      </c>
      <c r="M2" t="s">
        <v>92</v>
      </c>
    </row>
    <row r="3" spans="1:13" ht="13.5" x14ac:dyDescent="0.25">
      <c r="A3" t="s">
        <v>103</v>
      </c>
      <c r="B3" t="s">
        <v>45</v>
      </c>
      <c r="C3">
        <v>5</v>
      </c>
      <c r="D3" t="s">
        <v>104</v>
      </c>
      <c r="E3" t="s">
        <v>27</v>
      </c>
      <c r="F3" t="s">
        <v>90</v>
      </c>
      <c r="G3" t="s">
        <v>493</v>
      </c>
      <c r="H3" t="s">
        <v>105</v>
      </c>
      <c r="I3" t="s">
        <v>1</v>
      </c>
      <c r="J3" t="s">
        <v>1</v>
      </c>
      <c r="K3" t="s">
        <v>106</v>
      </c>
      <c r="L3" t="s">
        <v>98</v>
      </c>
      <c r="M3" t="s">
        <v>92</v>
      </c>
    </row>
    <row r="4" spans="1:13" ht="13.5" x14ac:dyDescent="0.25">
      <c r="A4" t="s">
        <v>107</v>
      </c>
      <c r="B4" t="s">
        <v>49</v>
      </c>
      <c r="C4">
        <v>6</v>
      </c>
      <c r="D4" t="s">
        <v>108</v>
      </c>
      <c r="E4" t="s">
        <v>25</v>
      </c>
      <c r="F4" t="s">
        <v>90</v>
      </c>
      <c r="G4" t="s">
        <v>109</v>
      </c>
      <c r="H4" t="s">
        <v>91</v>
      </c>
      <c r="I4" t="s">
        <v>110</v>
      </c>
      <c r="J4" t="s">
        <v>111</v>
      </c>
      <c r="K4" t="s">
        <v>112</v>
      </c>
      <c r="L4" t="s">
        <v>113</v>
      </c>
      <c r="M4" t="s">
        <v>92</v>
      </c>
    </row>
    <row r="5" spans="1:13" ht="13.5" x14ac:dyDescent="0.25">
      <c r="A5" t="s">
        <v>114</v>
      </c>
      <c r="B5" t="s">
        <v>49</v>
      </c>
      <c r="C5">
        <v>7</v>
      </c>
      <c r="D5" t="s">
        <v>115</v>
      </c>
      <c r="E5" t="s">
        <v>116</v>
      </c>
      <c r="F5" t="s">
        <v>90</v>
      </c>
      <c r="G5" t="s">
        <v>1</v>
      </c>
      <c r="H5" t="s">
        <v>117</v>
      </c>
      <c r="I5" t="s">
        <v>1</v>
      </c>
      <c r="J5" t="s">
        <v>118</v>
      </c>
      <c r="K5" t="s">
        <v>119</v>
      </c>
      <c r="L5" t="s">
        <v>120</v>
      </c>
      <c r="M5" t="s">
        <v>92</v>
      </c>
    </row>
    <row r="6" spans="1:13" ht="13.5" x14ac:dyDescent="0.25">
      <c r="A6" t="s">
        <v>121</v>
      </c>
      <c r="B6" t="s">
        <v>49</v>
      </c>
      <c r="C6">
        <v>8</v>
      </c>
      <c r="D6" t="s">
        <v>122</v>
      </c>
      <c r="E6" t="s">
        <v>27</v>
      </c>
      <c r="F6" t="s">
        <v>90</v>
      </c>
      <c r="G6" t="s">
        <v>123</v>
      </c>
      <c r="H6" t="s">
        <v>124</v>
      </c>
      <c r="I6" t="s">
        <v>1</v>
      </c>
      <c r="J6" t="s">
        <v>1</v>
      </c>
      <c r="K6" t="s">
        <v>125</v>
      </c>
      <c r="L6" t="s">
        <v>126</v>
      </c>
      <c r="M6" t="s">
        <v>92</v>
      </c>
    </row>
    <row r="7" spans="1:13" ht="13.5" x14ac:dyDescent="0.25">
      <c r="A7" t="s">
        <v>127</v>
      </c>
      <c r="B7" t="s">
        <v>49</v>
      </c>
      <c r="C7">
        <v>9</v>
      </c>
      <c r="D7" t="s">
        <v>128</v>
      </c>
      <c r="E7" t="s">
        <v>25</v>
      </c>
      <c r="F7" t="s">
        <v>90</v>
      </c>
      <c r="G7" t="s">
        <v>129</v>
      </c>
      <c r="H7" t="s">
        <v>130</v>
      </c>
      <c r="I7" t="s">
        <v>1</v>
      </c>
      <c r="J7" t="s">
        <v>1</v>
      </c>
      <c r="K7" t="s">
        <v>131</v>
      </c>
      <c r="L7" t="s">
        <v>132</v>
      </c>
      <c r="M7" t="s">
        <v>92</v>
      </c>
    </row>
    <row r="8" spans="1:13" ht="13.5" x14ac:dyDescent="0.25">
      <c r="A8" t="s">
        <v>133</v>
      </c>
      <c r="B8" t="s">
        <v>53</v>
      </c>
      <c r="C8">
        <v>10</v>
      </c>
      <c r="D8" t="s">
        <v>134</v>
      </c>
      <c r="E8" t="s">
        <v>25</v>
      </c>
      <c r="F8" t="s">
        <v>90</v>
      </c>
      <c r="G8" t="s">
        <v>135</v>
      </c>
      <c r="H8" t="s">
        <v>91</v>
      </c>
      <c r="I8" t="s">
        <v>136</v>
      </c>
      <c r="J8" t="s">
        <v>1</v>
      </c>
      <c r="K8" t="s">
        <v>137</v>
      </c>
      <c r="L8" t="s">
        <v>138</v>
      </c>
      <c r="M8" t="s">
        <v>92</v>
      </c>
    </row>
    <row r="9" spans="1:13" ht="13.5" x14ac:dyDescent="0.25">
      <c r="A9" t="s">
        <v>139</v>
      </c>
      <c r="B9" t="s">
        <v>53</v>
      </c>
      <c r="C9">
        <v>11</v>
      </c>
      <c r="D9" t="s">
        <v>140</v>
      </c>
      <c r="E9" t="s">
        <v>116</v>
      </c>
      <c r="F9" t="s">
        <v>141</v>
      </c>
      <c r="G9" t="s">
        <v>1</v>
      </c>
      <c r="H9" t="s">
        <v>142</v>
      </c>
      <c r="I9" t="s">
        <v>143</v>
      </c>
      <c r="J9" t="s">
        <v>144</v>
      </c>
      <c r="K9" t="s">
        <v>145</v>
      </c>
      <c r="L9" t="s">
        <v>138</v>
      </c>
      <c r="M9" t="s">
        <v>92</v>
      </c>
    </row>
    <row r="10" spans="1:13" ht="13.5" x14ac:dyDescent="0.25">
      <c r="A10" t="s">
        <v>146</v>
      </c>
      <c r="B10" t="s">
        <v>56</v>
      </c>
      <c r="C10">
        <v>12</v>
      </c>
      <c r="D10" t="s">
        <v>147</v>
      </c>
      <c r="E10" t="s">
        <v>27</v>
      </c>
      <c r="F10" t="s">
        <v>90</v>
      </c>
      <c r="G10" t="s">
        <v>148</v>
      </c>
      <c r="H10" t="s">
        <v>124</v>
      </c>
      <c r="I10" t="s">
        <v>1</v>
      </c>
      <c r="J10" t="s">
        <v>1</v>
      </c>
      <c r="K10" t="s">
        <v>149</v>
      </c>
      <c r="L10" t="s">
        <v>150</v>
      </c>
      <c r="M10" t="s">
        <v>92</v>
      </c>
    </row>
    <row r="11" spans="1:13" ht="13.5" x14ac:dyDescent="0.25">
      <c r="A11" t="s">
        <v>151</v>
      </c>
      <c r="B11" t="s">
        <v>56</v>
      </c>
      <c r="C11">
        <v>13</v>
      </c>
      <c r="D11" t="s">
        <v>152</v>
      </c>
      <c r="E11" t="s">
        <v>25</v>
      </c>
      <c r="F11" t="s">
        <v>90</v>
      </c>
      <c r="G11" t="s">
        <v>153</v>
      </c>
      <c r="H11" t="s">
        <v>91</v>
      </c>
      <c r="I11" t="s">
        <v>1</v>
      </c>
      <c r="J11" t="s">
        <v>1</v>
      </c>
      <c r="K11" t="s">
        <v>154</v>
      </c>
      <c r="L11" t="s">
        <v>155</v>
      </c>
      <c r="M11" t="s">
        <v>92</v>
      </c>
    </row>
    <row r="12" spans="1:13" ht="13.5" x14ac:dyDescent="0.25">
      <c r="A12" t="s">
        <v>156</v>
      </c>
      <c r="B12" t="s">
        <v>56</v>
      </c>
      <c r="C12">
        <v>14</v>
      </c>
      <c r="D12" t="s">
        <v>157</v>
      </c>
      <c r="E12" t="s">
        <v>25</v>
      </c>
      <c r="F12" t="s">
        <v>90</v>
      </c>
      <c r="G12" t="s">
        <v>158</v>
      </c>
      <c r="H12" t="s">
        <v>130</v>
      </c>
      <c r="I12" t="s">
        <v>1</v>
      </c>
      <c r="J12" t="s">
        <v>1</v>
      </c>
      <c r="K12" t="s">
        <v>159</v>
      </c>
      <c r="L12" t="s">
        <v>160</v>
      </c>
      <c r="M12" t="s">
        <v>92</v>
      </c>
    </row>
    <row r="13" spans="1:13" ht="13.5" x14ac:dyDescent="0.25">
      <c r="A13" t="s">
        <v>161</v>
      </c>
      <c r="B13" t="s">
        <v>56</v>
      </c>
      <c r="C13">
        <v>15</v>
      </c>
      <c r="D13" t="s">
        <v>162</v>
      </c>
      <c r="E13" t="s">
        <v>25</v>
      </c>
      <c r="F13" t="s">
        <v>90</v>
      </c>
      <c r="G13" t="s">
        <v>163</v>
      </c>
      <c r="H13" t="s">
        <v>91</v>
      </c>
      <c r="I13" t="s">
        <v>1</v>
      </c>
      <c r="J13" t="s">
        <v>1</v>
      </c>
      <c r="K13" t="s">
        <v>164</v>
      </c>
      <c r="L13" t="s">
        <v>165</v>
      </c>
      <c r="M13" t="s">
        <v>92</v>
      </c>
    </row>
    <row r="14" spans="1:13" ht="13.5" x14ac:dyDescent="0.25">
      <c r="A14" t="s">
        <v>166</v>
      </c>
      <c r="B14" t="s">
        <v>56</v>
      </c>
      <c r="C14">
        <v>16</v>
      </c>
      <c r="D14" t="s">
        <v>167</v>
      </c>
      <c r="E14" t="s">
        <v>25</v>
      </c>
      <c r="F14" t="s">
        <v>90</v>
      </c>
      <c r="G14" t="s">
        <v>168</v>
      </c>
      <c r="H14" t="s">
        <v>91</v>
      </c>
      <c r="I14" t="s">
        <v>1</v>
      </c>
      <c r="J14" t="s">
        <v>1</v>
      </c>
      <c r="K14" t="s">
        <v>169</v>
      </c>
      <c r="L14" t="s">
        <v>170</v>
      </c>
      <c r="M14" t="s">
        <v>92</v>
      </c>
    </row>
    <row r="15" spans="1:13" ht="13.5" x14ac:dyDescent="0.25">
      <c r="A15" t="s">
        <v>171</v>
      </c>
      <c r="B15" t="s">
        <v>59</v>
      </c>
      <c r="C15">
        <v>17</v>
      </c>
      <c r="D15" t="s">
        <v>172</v>
      </c>
      <c r="E15" t="s">
        <v>27</v>
      </c>
      <c r="F15" t="s">
        <v>90</v>
      </c>
      <c r="G15" t="s">
        <v>173</v>
      </c>
      <c r="H15" t="s">
        <v>124</v>
      </c>
      <c r="I15" t="s">
        <v>1</v>
      </c>
      <c r="J15" t="s">
        <v>1</v>
      </c>
      <c r="K15" t="s">
        <v>174</v>
      </c>
      <c r="L15" t="s">
        <v>175</v>
      </c>
      <c r="M15" t="s">
        <v>92</v>
      </c>
    </row>
    <row r="16" spans="1:13" ht="13.5" x14ac:dyDescent="0.25">
      <c r="A16" t="s">
        <v>176</v>
      </c>
      <c r="B16" t="s">
        <v>59</v>
      </c>
      <c r="C16">
        <v>18</v>
      </c>
      <c r="D16" t="s">
        <v>177</v>
      </c>
      <c r="E16" t="s">
        <v>27</v>
      </c>
      <c r="F16" t="s">
        <v>90</v>
      </c>
      <c r="G16" t="s">
        <v>178</v>
      </c>
      <c r="H16" t="s">
        <v>179</v>
      </c>
      <c r="I16" t="s">
        <v>1</v>
      </c>
      <c r="J16" t="s">
        <v>1</v>
      </c>
      <c r="K16" t="s">
        <v>180</v>
      </c>
      <c r="L16" t="s">
        <v>181</v>
      </c>
      <c r="M16" t="s">
        <v>92</v>
      </c>
    </row>
    <row r="17" spans="1:13" ht="13.5" x14ac:dyDescent="0.25">
      <c r="A17" t="s">
        <v>182</v>
      </c>
      <c r="B17" t="s">
        <v>62</v>
      </c>
      <c r="C17">
        <v>19</v>
      </c>
      <c r="D17" t="s">
        <v>183</v>
      </c>
      <c r="E17" t="s">
        <v>25</v>
      </c>
      <c r="F17" t="s">
        <v>90</v>
      </c>
      <c r="G17" t="s">
        <v>184</v>
      </c>
      <c r="H17" t="s">
        <v>124</v>
      </c>
      <c r="I17" t="s">
        <v>1</v>
      </c>
      <c r="J17" t="s">
        <v>1</v>
      </c>
      <c r="K17" t="s">
        <v>185</v>
      </c>
      <c r="L17" t="s">
        <v>186</v>
      </c>
      <c r="M17" t="s">
        <v>92</v>
      </c>
    </row>
    <row r="18" spans="1:13" ht="13.5" x14ac:dyDescent="0.25">
      <c r="A18" t="s">
        <v>187</v>
      </c>
      <c r="B18" t="s">
        <v>62</v>
      </c>
      <c r="C18">
        <v>20</v>
      </c>
      <c r="D18" t="s">
        <v>188</v>
      </c>
      <c r="E18" t="s">
        <v>25</v>
      </c>
      <c r="F18" t="s">
        <v>90</v>
      </c>
      <c r="G18" t="s">
        <v>189</v>
      </c>
      <c r="H18" t="s">
        <v>124</v>
      </c>
      <c r="I18" t="s">
        <v>1</v>
      </c>
      <c r="J18" t="s">
        <v>1</v>
      </c>
      <c r="K18" t="s">
        <v>190</v>
      </c>
      <c r="L18" t="s">
        <v>191</v>
      </c>
      <c r="M18" t="s">
        <v>92</v>
      </c>
    </row>
    <row r="19" spans="1:13" ht="13.5" x14ac:dyDescent="0.25">
      <c r="A19" t="s">
        <v>196</v>
      </c>
      <c r="B19" t="s">
        <v>65</v>
      </c>
      <c r="C19">
        <v>23</v>
      </c>
      <c r="D19" t="s">
        <v>197</v>
      </c>
      <c r="E19" t="s">
        <v>116</v>
      </c>
      <c r="F19" t="s">
        <v>90</v>
      </c>
      <c r="G19" t="s">
        <v>1</v>
      </c>
      <c r="H19" t="s">
        <v>198</v>
      </c>
      <c r="I19" t="s">
        <v>1</v>
      </c>
      <c r="J19" t="s">
        <v>1</v>
      </c>
      <c r="K19" t="s">
        <v>199</v>
      </c>
      <c r="L19" t="s">
        <v>200</v>
      </c>
      <c r="M19" t="s">
        <v>92</v>
      </c>
    </row>
    <row r="20" spans="1:13" ht="13.5" x14ac:dyDescent="0.25">
      <c r="A20" t="s">
        <v>201</v>
      </c>
      <c r="B20" t="s">
        <v>65</v>
      </c>
      <c r="C20">
        <v>24</v>
      </c>
      <c r="D20" t="s">
        <v>202</v>
      </c>
      <c r="E20" t="s">
        <v>97</v>
      </c>
      <c r="F20" t="s">
        <v>141</v>
      </c>
      <c r="G20" t="s">
        <v>1</v>
      </c>
      <c r="H20" t="s">
        <v>195</v>
      </c>
      <c r="I20" t="s">
        <v>1</v>
      </c>
      <c r="J20" t="s">
        <v>1</v>
      </c>
      <c r="K20" t="s">
        <v>203</v>
      </c>
      <c r="L20" t="s">
        <v>204</v>
      </c>
      <c r="M20" t="s">
        <v>92</v>
      </c>
    </row>
  </sheetData>
  <autoFilter ref="A1:M20" xr:uid="{00000000-0009-0000-0000-000001000000}"/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"/>
  <sheetViews>
    <sheetView workbookViewId="0">
      <pane ySplit="1" topLeftCell="A92" activePane="bottomLeft" state="frozen"/>
      <selection pane="bottomLeft" activeCell="B103" sqref="B103"/>
    </sheetView>
  </sheetViews>
  <sheetFormatPr defaultRowHeight="15" x14ac:dyDescent="0.25"/>
  <cols>
    <col min="1" max="1" width="14" customWidth="1"/>
    <col min="2" max="2" width="16" customWidth="1"/>
    <col min="3" max="3" width="60" customWidth="1"/>
    <col min="4" max="4" width="28" customWidth="1"/>
    <col min="5" max="5" width="20" customWidth="1"/>
  </cols>
  <sheetData>
    <row r="1" spans="1:5" ht="13.5" x14ac:dyDescent="0.2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</row>
    <row r="2" spans="1:5" ht="13.5" x14ac:dyDescent="0.25">
      <c r="A2" t="s">
        <v>99</v>
      </c>
      <c r="B2">
        <v>1</v>
      </c>
      <c r="C2" t="s">
        <v>210</v>
      </c>
      <c r="D2" t="s">
        <v>1</v>
      </c>
      <c r="E2" t="s">
        <v>211</v>
      </c>
    </row>
    <row r="3" spans="1:5" ht="13.5" x14ac:dyDescent="0.25">
      <c r="A3" t="s">
        <v>99</v>
      </c>
      <c r="B3">
        <v>2</v>
      </c>
      <c r="C3" t="s">
        <v>212</v>
      </c>
      <c r="D3" t="s">
        <v>1</v>
      </c>
      <c r="E3" t="s">
        <v>213</v>
      </c>
    </row>
    <row r="4" spans="1:5" ht="13.5" x14ac:dyDescent="0.25">
      <c r="A4" t="s">
        <v>99</v>
      </c>
      <c r="B4">
        <v>3</v>
      </c>
      <c r="C4" t="s">
        <v>214</v>
      </c>
      <c r="D4" t="s">
        <v>1</v>
      </c>
      <c r="E4" t="s">
        <v>215</v>
      </c>
    </row>
    <row r="5" spans="1:5" ht="13.5" x14ac:dyDescent="0.25">
      <c r="A5" t="s">
        <v>99</v>
      </c>
      <c r="B5">
        <v>4</v>
      </c>
      <c r="C5" t="s">
        <v>216</v>
      </c>
      <c r="D5" t="s">
        <v>1</v>
      </c>
      <c r="E5" t="s">
        <v>217</v>
      </c>
    </row>
    <row r="6" spans="1:5" ht="13.5" x14ac:dyDescent="0.25">
      <c r="A6" t="s">
        <v>103</v>
      </c>
      <c r="B6">
        <v>1</v>
      </c>
      <c r="C6" t="s">
        <v>218</v>
      </c>
      <c r="D6" t="s">
        <v>1</v>
      </c>
      <c r="E6" t="s">
        <v>219</v>
      </c>
    </row>
    <row r="7" spans="1:5" ht="13.5" x14ac:dyDescent="0.25">
      <c r="A7" t="s">
        <v>103</v>
      </c>
      <c r="B7">
        <v>2</v>
      </c>
      <c r="C7" t="s">
        <v>220</v>
      </c>
      <c r="D7" t="s">
        <v>1</v>
      </c>
      <c r="E7" t="s">
        <v>221</v>
      </c>
    </row>
    <row r="8" spans="1:5" ht="13.5" x14ac:dyDescent="0.25">
      <c r="A8" t="s">
        <v>103</v>
      </c>
      <c r="B8">
        <v>3</v>
      </c>
      <c r="C8" t="s">
        <v>222</v>
      </c>
      <c r="D8" t="s">
        <v>1</v>
      </c>
      <c r="E8" t="s">
        <v>223</v>
      </c>
    </row>
    <row r="9" spans="1:5" ht="13.5" x14ac:dyDescent="0.25">
      <c r="A9" t="s">
        <v>103</v>
      </c>
      <c r="B9">
        <v>4</v>
      </c>
      <c r="C9" t="s">
        <v>224</v>
      </c>
      <c r="D9" t="s">
        <v>1</v>
      </c>
      <c r="E9" t="s">
        <v>225</v>
      </c>
    </row>
    <row r="10" spans="1:5" ht="13.5" x14ac:dyDescent="0.25">
      <c r="A10" t="s">
        <v>103</v>
      </c>
      <c r="B10">
        <v>5</v>
      </c>
      <c r="C10" t="s">
        <v>226</v>
      </c>
      <c r="D10" t="s">
        <v>1</v>
      </c>
      <c r="E10" t="s">
        <v>227</v>
      </c>
    </row>
    <row r="11" spans="1:5" ht="13.5" x14ac:dyDescent="0.25">
      <c r="A11" t="s">
        <v>103</v>
      </c>
      <c r="B11">
        <v>6</v>
      </c>
      <c r="C11" t="s">
        <v>228</v>
      </c>
      <c r="D11" t="s">
        <v>1</v>
      </c>
      <c r="E11" t="s">
        <v>229</v>
      </c>
    </row>
    <row r="12" spans="1:5" ht="13.5" x14ac:dyDescent="0.25">
      <c r="A12" t="s">
        <v>103</v>
      </c>
      <c r="B12">
        <v>7</v>
      </c>
      <c r="C12" t="s">
        <v>230</v>
      </c>
      <c r="D12" t="s">
        <v>1</v>
      </c>
      <c r="E12" t="s">
        <v>231</v>
      </c>
    </row>
    <row r="13" spans="1:5" ht="13.5" x14ac:dyDescent="0.25">
      <c r="A13" t="s">
        <v>107</v>
      </c>
      <c r="B13">
        <v>1</v>
      </c>
      <c r="C13" t="s">
        <v>232</v>
      </c>
      <c r="D13" t="s">
        <v>1</v>
      </c>
      <c r="E13" t="s">
        <v>233</v>
      </c>
    </row>
    <row r="14" spans="1:5" ht="13.5" x14ac:dyDescent="0.25">
      <c r="A14" t="s">
        <v>107</v>
      </c>
      <c r="B14">
        <v>2</v>
      </c>
      <c r="C14" t="s">
        <v>234</v>
      </c>
      <c r="D14" t="s">
        <v>1</v>
      </c>
      <c r="E14" t="s">
        <v>235</v>
      </c>
    </row>
    <row r="15" spans="1:5" ht="13.5" x14ac:dyDescent="0.25">
      <c r="A15" t="s">
        <v>107</v>
      </c>
      <c r="B15">
        <v>3</v>
      </c>
      <c r="C15" t="s">
        <v>236</v>
      </c>
      <c r="D15" t="s">
        <v>1</v>
      </c>
      <c r="E15" t="s">
        <v>237</v>
      </c>
    </row>
    <row r="16" spans="1:5" ht="13.5" x14ac:dyDescent="0.25">
      <c r="A16" t="s">
        <v>107</v>
      </c>
      <c r="B16">
        <v>4</v>
      </c>
      <c r="C16" t="s">
        <v>238</v>
      </c>
      <c r="D16" t="s">
        <v>1</v>
      </c>
      <c r="E16" t="s">
        <v>239</v>
      </c>
    </row>
    <row r="17" spans="1:5" ht="13.5" x14ac:dyDescent="0.25">
      <c r="A17" t="s">
        <v>107</v>
      </c>
      <c r="B17">
        <v>5</v>
      </c>
      <c r="C17" t="s">
        <v>240</v>
      </c>
      <c r="D17" t="s">
        <v>1</v>
      </c>
      <c r="E17" t="s">
        <v>241</v>
      </c>
    </row>
    <row r="18" spans="1:5" ht="13.5" x14ac:dyDescent="0.25">
      <c r="A18" t="s">
        <v>121</v>
      </c>
      <c r="B18">
        <v>1</v>
      </c>
      <c r="C18" t="s">
        <v>242</v>
      </c>
      <c r="D18" t="s">
        <v>1</v>
      </c>
      <c r="E18" t="s">
        <v>243</v>
      </c>
    </row>
    <row r="19" spans="1:5" ht="13.5" x14ac:dyDescent="0.25">
      <c r="A19" t="s">
        <v>121</v>
      </c>
      <c r="B19">
        <v>2</v>
      </c>
      <c r="C19" t="s">
        <v>244</v>
      </c>
      <c r="D19" t="s">
        <v>1</v>
      </c>
      <c r="E19" t="s">
        <v>245</v>
      </c>
    </row>
    <row r="20" spans="1:5" ht="13.5" x14ac:dyDescent="0.25">
      <c r="A20" t="s">
        <v>121</v>
      </c>
      <c r="B20">
        <v>3</v>
      </c>
      <c r="C20" t="s">
        <v>246</v>
      </c>
      <c r="D20" t="s">
        <v>1</v>
      </c>
      <c r="E20" t="s">
        <v>247</v>
      </c>
    </row>
    <row r="21" spans="1:5" ht="13.5" x14ac:dyDescent="0.25">
      <c r="A21" t="s">
        <v>121</v>
      </c>
      <c r="B21">
        <v>4</v>
      </c>
      <c r="C21" t="s">
        <v>248</v>
      </c>
      <c r="D21" t="s">
        <v>1</v>
      </c>
      <c r="E21" t="s">
        <v>249</v>
      </c>
    </row>
    <row r="22" spans="1:5" ht="13.5" x14ac:dyDescent="0.25">
      <c r="A22" t="s">
        <v>121</v>
      </c>
      <c r="B22">
        <v>5</v>
      </c>
      <c r="C22" t="s">
        <v>250</v>
      </c>
      <c r="D22" t="s">
        <v>1</v>
      </c>
      <c r="E22" t="s">
        <v>251</v>
      </c>
    </row>
    <row r="23" spans="1:5" ht="13.5" x14ac:dyDescent="0.25">
      <c r="A23" t="s">
        <v>121</v>
      </c>
      <c r="B23">
        <v>6</v>
      </c>
      <c r="C23" t="s">
        <v>252</v>
      </c>
      <c r="D23" t="s">
        <v>1</v>
      </c>
      <c r="E23" t="s">
        <v>253</v>
      </c>
    </row>
    <row r="24" spans="1:5" ht="13.5" x14ac:dyDescent="0.25">
      <c r="A24" t="s">
        <v>121</v>
      </c>
      <c r="B24">
        <v>7</v>
      </c>
      <c r="C24" t="s">
        <v>254</v>
      </c>
      <c r="D24" t="s">
        <v>1</v>
      </c>
      <c r="E24" t="s">
        <v>255</v>
      </c>
    </row>
    <row r="25" spans="1:5" ht="13.5" x14ac:dyDescent="0.25">
      <c r="A25" t="s">
        <v>121</v>
      </c>
      <c r="B25">
        <v>8</v>
      </c>
      <c r="C25" t="s">
        <v>256</v>
      </c>
      <c r="D25" t="s">
        <v>1</v>
      </c>
      <c r="E25" t="s">
        <v>257</v>
      </c>
    </row>
    <row r="26" spans="1:5" ht="13.5" x14ac:dyDescent="0.25">
      <c r="A26" t="s">
        <v>127</v>
      </c>
      <c r="B26">
        <v>1</v>
      </c>
      <c r="C26" t="s">
        <v>258</v>
      </c>
      <c r="D26" t="s">
        <v>1</v>
      </c>
      <c r="E26" t="s">
        <v>259</v>
      </c>
    </row>
    <row r="27" spans="1:5" ht="13.5" x14ac:dyDescent="0.25">
      <c r="A27" t="s">
        <v>127</v>
      </c>
      <c r="B27">
        <v>2</v>
      </c>
      <c r="C27" t="s">
        <v>260</v>
      </c>
      <c r="D27" t="s">
        <v>1</v>
      </c>
      <c r="E27" t="s">
        <v>261</v>
      </c>
    </row>
    <row r="28" spans="1:5" ht="13.5" x14ac:dyDescent="0.25">
      <c r="A28" t="s">
        <v>127</v>
      </c>
      <c r="B28">
        <v>3</v>
      </c>
      <c r="C28" t="s">
        <v>262</v>
      </c>
      <c r="D28" t="s">
        <v>1</v>
      </c>
      <c r="E28" t="s">
        <v>263</v>
      </c>
    </row>
    <row r="29" spans="1:5" ht="13.5" x14ac:dyDescent="0.25">
      <c r="A29" t="s">
        <v>127</v>
      </c>
      <c r="B29">
        <v>4</v>
      </c>
      <c r="C29" t="s">
        <v>264</v>
      </c>
      <c r="D29" t="s">
        <v>1</v>
      </c>
      <c r="E29" t="s">
        <v>265</v>
      </c>
    </row>
    <row r="30" spans="1:5" ht="13.5" x14ac:dyDescent="0.25">
      <c r="A30" t="s">
        <v>127</v>
      </c>
      <c r="B30">
        <v>5</v>
      </c>
      <c r="C30" t="s">
        <v>266</v>
      </c>
      <c r="D30" t="s">
        <v>1</v>
      </c>
      <c r="E30" t="s">
        <v>267</v>
      </c>
    </row>
    <row r="31" spans="1:5" ht="13.5" x14ac:dyDescent="0.25">
      <c r="A31" t="s">
        <v>127</v>
      </c>
      <c r="B31">
        <v>6</v>
      </c>
      <c r="C31" t="s">
        <v>268</v>
      </c>
      <c r="D31" t="s">
        <v>1</v>
      </c>
      <c r="E31" t="s">
        <v>269</v>
      </c>
    </row>
    <row r="32" spans="1:5" ht="13.5" x14ac:dyDescent="0.25">
      <c r="A32" t="s">
        <v>127</v>
      </c>
      <c r="B32">
        <v>7</v>
      </c>
      <c r="C32" t="s">
        <v>270</v>
      </c>
      <c r="D32" t="s">
        <v>1</v>
      </c>
      <c r="E32" t="s">
        <v>271</v>
      </c>
    </row>
    <row r="33" spans="1:5" ht="13.5" x14ac:dyDescent="0.25">
      <c r="A33" t="s">
        <v>127</v>
      </c>
      <c r="B33">
        <v>8</v>
      </c>
      <c r="C33" t="s">
        <v>272</v>
      </c>
      <c r="D33" t="s">
        <v>1</v>
      </c>
      <c r="E33" t="s">
        <v>273</v>
      </c>
    </row>
    <row r="34" spans="1:5" ht="13.5" x14ac:dyDescent="0.25">
      <c r="A34" t="s">
        <v>127</v>
      </c>
      <c r="B34">
        <v>9</v>
      </c>
      <c r="C34" t="s">
        <v>256</v>
      </c>
      <c r="D34" t="s">
        <v>1</v>
      </c>
      <c r="E34" t="s">
        <v>274</v>
      </c>
    </row>
    <row r="35" spans="1:5" ht="13.5" x14ac:dyDescent="0.25">
      <c r="A35" t="s">
        <v>133</v>
      </c>
      <c r="B35">
        <v>1</v>
      </c>
      <c r="C35" t="s">
        <v>275</v>
      </c>
      <c r="D35" t="s">
        <v>1</v>
      </c>
      <c r="E35" t="s">
        <v>276</v>
      </c>
    </row>
    <row r="36" spans="1:5" ht="13.5" x14ac:dyDescent="0.25">
      <c r="A36" t="s">
        <v>133</v>
      </c>
      <c r="B36">
        <v>2</v>
      </c>
      <c r="C36" t="s">
        <v>277</v>
      </c>
      <c r="D36" t="s">
        <v>1</v>
      </c>
      <c r="E36" t="s">
        <v>278</v>
      </c>
    </row>
    <row r="37" spans="1:5" ht="13.5" x14ac:dyDescent="0.25">
      <c r="A37" t="s">
        <v>133</v>
      </c>
      <c r="B37">
        <v>3</v>
      </c>
      <c r="C37" t="s">
        <v>279</v>
      </c>
      <c r="D37" t="s">
        <v>1</v>
      </c>
      <c r="E37" t="s">
        <v>280</v>
      </c>
    </row>
    <row r="38" spans="1:5" ht="13.5" x14ac:dyDescent="0.25">
      <c r="A38" t="s">
        <v>133</v>
      </c>
      <c r="B38">
        <v>4</v>
      </c>
      <c r="C38" t="s">
        <v>281</v>
      </c>
      <c r="D38" t="s">
        <v>282</v>
      </c>
      <c r="E38" t="s">
        <v>283</v>
      </c>
    </row>
    <row r="39" spans="1:5" ht="13.5" x14ac:dyDescent="0.25">
      <c r="A39" t="s">
        <v>146</v>
      </c>
      <c r="B39">
        <v>1</v>
      </c>
      <c r="C39" t="s">
        <v>284</v>
      </c>
      <c r="D39" t="s">
        <v>1</v>
      </c>
      <c r="E39" t="s">
        <v>285</v>
      </c>
    </row>
    <row r="40" spans="1:5" ht="13.5" x14ac:dyDescent="0.25">
      <c r="A40" t="s">
        <v>146</v>
      </c>
      <c r="B40">
        <v>2</v>
      </c>
      <c r="C40" t="s">
        <v>286</v>
      </c>
      <c r="D40" t="s">
        <v>1</v>
      </c>
      <c r="E40" t="s">
        <v>287</v>
      </c>
    </row>
    <row r="41" spans="1:5" ht="13.5" x14ac:dyDescent="0.25">
      <c r="A41" t="s">
        <v>146</v>
      </c>
      <c r="B41">
        <v>3</v>
      </c>
      <c r="C41" t="s">
        <v>288</v>
      </c>
      <c r="D41" t="s">
        <v>1</v>
      </c>
      <c r="E41" t="s">
        <v>289</v>
      </c>
    </row>
    <row r="42" spans="1:5" ht="13.5" x14ac:dyDescent="0.25">
      <c r="A42" t="s">
        <v>146</v>
      </c>
      <c r="B42">
        <v>4</v>
      </c>
      <c r="C42" t="s">
        <v>290</v>
      </c>
      <c r="D42" t="s">
        <v>1</v>
      </c>
      <c r="E42" t="s">
        <v>291</v>
      </c>
    </row>
    <row r="43" spans="1:5" ht="13.5" x14ac:dyDescent="0.25">
      <c r="A43" t="s">
        <v>146</v>
      </c>
      <c r="B43">
        <v>5</v>
      </c>
      <c r="C43" t="s">
        <v>292</v>
      </c>
      <c r="D43" t="s">
        <v>1</v>
      </c>
      <c r="E43" t="s">
        <v>293</v>
      </c>
    </row>
    <row r="44" spans="1:5" ht="13.5" x14ac:dyDescent="0.25">
      <c r="A44" t="s">
        <v>146</v>
      </c>
      <c r="B44">
        <v>6</v>
      </c>
      <c r="C44" t="s">
        <v>294</v>
      </c>
      <c r="D44" t="s">
        <v>1</v>
      </c>
      <c r="E44" t="s">
        <v>295</v>
      </c>
    </row>
    <row r="45" spans="1:5" ht="13.5" x14ac:dyDescent="0.25">
      <c r="A45" t="s">
        <v>146</v>
      </c>
      <c r="B45">
        <v>7</v>
      </c>
      <c r="C45" t="s">
        <v>296</v>
      </c>
      <c r="D45" t="s">
        <v>1</v>
      </c>
      <c r="E45" t="s">
        <v>297</v>
      </c>
    </row>
    <row r="46" spans="1:5" ht="13.5" x14ac:dyDescent="0.25">
      <c r="A46" t="s">
        <v>151</v>
      </c>
      <c r="B46">
        <v>1</v>
      </c>
      <c r="C46" t="s">
        <v>298</v>
      </c>
      <c r="D46" t="s">
        <v>1</v>
      </c>
      <c r="E46" t="s">
        <v>299</v>
      </c>
    </row>
    <row r="47" spans="1:5" ht="13.5" x14ac:dyDescent="0.25">
      <c r="A47" t="s">
        <v>151</v>
      </c>
      <c r="B47">
        <v>2</v>
      </c>
      <c r="C47" t="s">
        <v>300</v>
      </c>
      <c r="D47" t="s">
        <v>1</v>
      </c>
      <c r="E47" t="s">
        <v>301</v>
      </c>
    </row>
    <row r="48" spans="1:5" ht="13.5" x14ac:dyDescent="0.25">
      <c r="A48" t="s">
        <v>151</v>
      </c>
      <c r="B48">
        <v>3</v>
      </c>
      <c r="C48" t="s">
        <v>302</v>
      </c>
      <c r="D48" t="s">
        <v>1</v>
      </c>
      <c r="E48" t="s">
        <v>303</v>
      </c>
    </row>
    <row r="49" spans="1:5" ht="13.5" x14ac:dyDescent="0.25">
      <c r="A49" t="s">
        <v>151</v>
      </c>
      <c r="B49">
        <v>4</v>
      </c>
      <c r="C49" t="s">
        <v>304</v>
      </c>
      <c r="D49" t="s">
        <v>1</v>
      </c>
      <c r="E49" t="s">
        <v>305</v>
      </c>
    </row>
    <row r="50" spans="1:5" ht="13.5" x14ac:dyDescent="0.25">
      <c r="A50" t="s">
        <v>151</v>
      </c>
      <c r="B50">
        <v>5</v>
      </c>
      <c r="C50" t="s">
        <v>306</v>
      </c>
      <c r="D50" t="s">
        <v>1</v>
      </c>
      <c r="E50" t="s">
        <v>307</v>
      </c>
    </row>
    <row r="51" spans="1:5" ht="13.5" x14ac:dyDescent="0.25">
      <c r="A51" t="s">
        <v>156</v>
      </c>
      <c r="B51">
        <v>1</v>
      </c>
      <c r="C51" t="s">
        <v>308</v>
      </c>
      <c r="D51" t="s">
        <v>1</v>
      </c>
      <c r="E51" t="s">
        <v>309</v>
      </c>
    </row>
    <row r="52" spans="1:5" ht="13.5" x14ac:dyDescent="0.25">
      <c r="A52" t="s">
        <v>156</v>
      </c>
      <c r="B52">
        <v>2</v>
      </c>
      <c r="C52" t="s">
        <v>310</v>
      </c>
      <c r="D52" t="s">
        <v>1</v>
      </c>
      <c r="E52" t="s">
        <v>311</v>
      </c>
    </row>
    <row r="53" spans="1:5" ht="13.5" x14ac:dyDescent="0.25">
      <c r="A53" t="s">
        <v>156</v>
      </c>
      <c r="B53">
        <v>3</v>
      </c>
      <c r="C53" t="s">
        <v>312</v>
      </c>
      <c r="D53" t="s">
        <v>1</v>
      </c>
      <c r="E53" t="s">
        <v>313</v>
      </c>
    </row>
    <row r="54" spans="1:5" ht="13.5" x14ac:dyDescent="0.25">
      <c r="A54" t="s">
        <v>156</v>
      </c>
      <c r="B54">
        <v>4</v>
      </c>
      <c r="C54" t="s">
        <v>314</v>
      </c>
      <c r="D54" t="s">
        <v>1</v>
      </c>
      <c r="E54" t="s">
        <v>315</v>
      </c>
    </row>
    <row r="55" spans="1:5" ht="13.5" x14ac:dyDescent="0.25">
      <c r="A55" t="s">
        <v>156</v>
      </c>
      <c r="B55">
        <v>5</v>
      </c>
      <c r="C55" t="s">
        <v>316</v>
      </c>
      <c r="D55" t="s">
        <v>1</v>
      </c>
      <c r="E55" t="s">
        <v>317</v>
      </c>
    </row>
    <row r="56" spans="1:5" ht="13.5" x14ac:dyDescent="0.25">
      <c r="A56" t="s">
        <v>156</v>
      </c>
      <c r="B56">
        <v>6</v>
      </c>
      <c r="C56" t="s">
        <v>318</v>
      </c>
      <c r="D56" t="s">
        <v>1</v>
      </c>
      <c r="E56" t="s">
        <v>319</v>
      </c>
    </row>
    <row r="57" spans="1:5" ht="13.5" x14ac:dyDescent="0.25">
      <c r="A57" t="s">
        <v>156</v>
      </c>
      <c r="B57">
        <v>7</v>
      </c>
      <c r="C57" t="s">
        <v>256</v>
      </c>
      <c r="D57" t="s">
        <v>1</v>
      </c>
      <c r="E57" t="s">
        <v>320</v>
      </c>
    </row>
    <row r="58" spans="1:5" ht="13.5" x14ac:dyDescent="0.25">
      <c r="A58" t="s">
        <v>161</v>
      </c>
      <c r="B58">
        <v>1</v>
      </c>
      <c r="C58" t="s">
        <v>321</v>
      </c>
      <c r="D58" t="s">
        <v>1</v>
      </c>
      <c r="E58" t="s">
        <v>322</v>
      </c>
    </row>
    <row r="59" spans="1:5" ht="13.5" x14ac:dyDescent="0.25">
      <c r="A59" t="s">
        <v>161</v>
      </c>
      <c r="B59">
        <v>2</v>
      </c>
      <c r="C59" t="s">
        <v>323</v>
      </c>
      <c r="D59" t="s">
        <v>1</v>
      </c>
      <c r="E59" t="s">
        <v>324</v>
      </c>
    </row>
    <row r="60" spans="1:5" ht="13.5" x14ac:dyDescent="0.25">
      <c r="A60" t="s">
        <v>161</v>
      </c>
      <c r="B60">
        <v>3</v>
      </c>
      <c r="C60" t="s">
        <v>325</v>
      </c>
      <c r="D60" t="s">
        <v>1</v>
      </c>
      <c r="E60" t="s">
        <v>326</v>
      </c>
    </row>
    <row r="61" spans="1:5" ht="13.5" x14ac:dyDescent="0.25">
      <c r="A61" t="s">
        <v>161</v>
      </c>
      <c r="B61">
        <v>4</v>
      </c>
      <c r="C61" t="s">
        <v>327</v>
      </c>
      <c r="D61" t="s">
        <v>1</v>
      </c>
      <c r="E61" t="s">
        <v>328</v>
      </c>
    </row>
    <row r="62" spans="1:5" ht="13.5" x14ac:dyDescent="0.25">
      <c r="A62" t="s">
        <v>161</v>
      </c>
      <c r="B62">
        <v>5</v>
      </c>
      <c r="C62" t="s">
        <v>329</v>
      </c>
      <c r="D62" t="s">
        <v>1</v>
      </c>
      <c r="E62" t="s">
        <v>330</v>
      </c>
    </row>
    <row r="63" spans="1:5" ht="13.5" x14ac:dyDescent="0.25">
      <c r="A63" t="s">
        <v>166</v>
      </c>
      <c r="B63">
        <v>1</v>
      </c>
      <c r="C63" t="s">
        <v>331</v>
      </c>
      <c r="D63" t="s">
        <v>1</v>
      </c>
      <c r="E63" t="s">
        <v>332</v>
      </c>
    </row>
    <row r="64" spans="1:5" ht="13.5" x14ac:dyDescent="0.25">
      <c r="A64" t="s">
        <v>166</v>
      </c>
      <c r="B64">
        <v>2</v>
      </c>
      <c r="C64" t="s">
        <v>333</v>
      </c>
      <c r="D64" t="s">
        <v>1</v>
      </c>
      <c r="E64" t="s">
        <v>334</v>
      </c>
    </row>
    <row r="65" spans="1:5" ht="13.5" x14ac:dyDescent="0.25">
      <c r="A65" t="s">
        <v>166</v>
      </c>
      <c r="B65">
        <v>3</v>
      </c>
      <c r="C65" t="s">
        <v>335</v>
      </c>
      <c r="D65" t="s">
        <v>1</v>
      </c>
      <c r="E65" t="s">
        <v>336</v>
      </c>
    </row>
    <row r="66" spans="1:5" ht="13.5" x14ac:dyDescent="0.25">
      <c r="A66" t="s">
        <v>166</v>
      </c>
      <c r="B66">
        <v>4</v>
      </c>
      <c r="C66" t="s">
        <v>337</v>
      </c>
      <c r="D66" t="s">
        <v>1</v>
      </c>
      <c r="E66" t="s">
        <v>338</v>
      </c>
    </row>
    <row r="67" spans="1:5" ht="13.5" x14ac:dyDescent="0.25">
      <c r="A67" t="s">
        <v>166</v>
      </c>
      <c r="B67">
        <v>5</v>
      </c>
      <c r="C67" t="s">
        <v>339</v>
      </c>
      <c r="D67" t="s">
        <v>1</v>
      </c>
      <c r="E67" t="s">
        <v>340</v>
      </c>
    </row>
    <row r="68" spans="1:5" ht="13.5" x14ac:dyDescent="0.25">
      <c r="A68" t="s">
        <v>171</v>
      </c>
      <c r="B68">
        <v>1</v>
      </c>
      <c r="C68" t="s">
        <v>341</v>
      </c>
      <c r="D68" t="s">
        <v>1</v>
      </c>
      <c r="E68" t="s">
        <v>342</v>
      </c>
    </row>
    <row r="69" spans="1:5" ht="13.5" x14ac:dyDescent="0.25">
      <c r="A69" t="s">
        <v>171</v>
      </c>
      <c r="B69">
        <v>2</v>
      </c>
      <c r="C69" t="s">
        <v>343</v>
      </c>
      <c r="D69" t="s">
        <v>1</v>
      </c>
      <c r="E69" t="s">
        <v>344</v>
      </c>
    </row>
    <row r="70" spans="1:5" ht="13.5" x14ac:dyDescent="0.25">
      <c r="A70" t="s">
        <v>171</v>
      </c>
      <c r="B70">
        <v>3</v>
      </c>
      <c r="C70" t="s">
        <v>345</v>
      </c>
      <c r="D70" t="s">
        <v>1</v>
      </c>
      <c r="E70" t="s">
        <v>346</v>
      </c>
    </row>
    <row r="71" spans="1:5" ht="13.5" x14ac:dyDescent="0.25">
      <c r="A71" t="s">
        <v>171</v>
      </c>
      <c r="B71">
        <v>4</v>
      </c>
      <c r="C71" t="s">
        <v>347</v>
      </c>
      <c r="D71" t="s">
        <v>1</v>
      </c>
      <c r="E71" t="s">
        <v>348</v>
      </c>
    </row>
    <row r="72" spans="1:5" ht="13.5" x14ac:dyDescent="0.25">
      <c r="A72" t="s">
        <v>171</v>
      </c>
      <c r="B72">
        <v>5</v>
      </c>
      <c r="C72" t="s">
        <v>349</v>
      </c>
      <c r="D72" t="s">
        <v>1</v>
      </c>
      <c r="E72" t="s">
        <v>350</v>
      </c>
    </row>
    <row r="73" spans="1:5" ht="13.5" x14ac:dyDescent="0.25">
      <c r="A73" t="s">
        <v>171</v>
      </c>
      <c r="B73">
        <v>6</v>
      </c>
      <c r="C73" t="s">
        <v>351</v>
      </c>
      <c r="D73" t="s">
        <v>1</v>
      </c>
      <c r="E73" t="s">
        <v>352</v>
      </c>
    </row>
    <row r="74" spans="1:5" ht="13.5" x14ac:dyDescent="0.25">
      <c r="A74" t="s">
        <v>171</v>
      </c>
      <c r="B74">
        <v>7</v>
      </c>
      <c r="C74" t="s">
        <v>353</v>
      </c>
      <c r="D74" t="s">
        <v>1</v>
      </c>
      <c r="E74" t="s">
        <v>354</v>
      </c>
    </row>
    <row r="75" spans="1:5" ht="13.5" x14ac:dyDescent="0.25">
      <c r="A75" t="s">
        <v>171</v>
      </c>
      <c r="B75">
        <v>8</v>
      </c>
      <c r="C75" t="s">
        <v>355</v>
      </c>
      <c r="D75" t="s">
        <v>1</v>
      </c>
      <c r="E75" t="s">
        <v>356</v>
      </c>
    </row>
    <row r="76" spans="1:5" ht="13.5" x14ac:dyDescent="0.25">
      <c r="A76" t="s">
        <v>171</v>
      </c>
      <c r="B76">
        <v>9</v>
      </c>
      <c r="C76" t="s">
        <v>357</v>
      </c>
      <c r="D76" t="s">
        <v>1</v>
      </c>
      <c r="E76" t="s">
        <v>358</v>
      </c>
    </row>
    <row r="77" spans="1:5" ht="13.5" x14ac:dyDescent="0.25">
      <c r="A77" t="s">
        <v>171</v>
      </c>
      <c r="B77">
        <v>10</v>
      </c>
      <c r="C77" t="s">
        <v>359</v>
      </c>
      <c r="D77" t="s">
        <v>1</v>
      </c>
      <c r="E77" t="s">
        <v>360</v>
      </c>
    </row>
    <row r="78" spans="1:5" ht="13.5" x14ac:dyDescent="0.25">
      <c r="A78" t="s">
        <v>171</v>
      </c>
      <c r="B78">
        <v>11</v>
      </c>
      <c r="C78" t="s">
        <v>256</v>
      </c>
      <c r="D78" t="s">
        <v>1</v>
      </c>
      <c r="E78" t="s">
        <v>361</v>
      </c>
    </row>
    <row r="79" spans="1:5" ht="13.5" x14ac:dyDescent="0.25">
      <c r="A79" t="s">
        <v>176</v>
      </c>
      <c r="B79">
        <v>1</v>
      </c>
      <c r="C79" t="s">
        <v>362</v>
      </c>
      <c r="D79" t="s">
        <v>1</v>
      </c>
      <c r="E79" t="s">
        <v>363</v>
      </c>
    </row>
    <row r="80" spans="1:5" ht="13.5" x14ac:dyDescent="0.25">
      <c r="A80" t="s">
        <v>176</v>
      </c>
      <c r="B80">
        <v>2</v>
      </c>
      <c r="C80" t="s">
        <v>353</v>
      </c>
      <c r="D80" t="s">
        <v>1</v>
      </c>
      <c r="E80" t="s">
        <v>364</v>
      </c>
    </row>
    <row r="81" spans="1:5" ht="13.5" x14ac:dyDescent="0.25">
      <c r="A81" t="s">
        <v>176</v>
      </c>
      <c r="B81">
        <v>3</v>
      </c>
      <c r="C81" t="s">
        <v>365</v>
      </c>
      <c r="D81" t="s">
        <v>1</v>
      </c>
      <c r="E81" t="s">
        <v>366</v>
      </c>
    </row>
    <row r="82" spans="1:5" ht="13.5" x14ac:dyDescent="0.25">
      <c r="A82" t="s">
        <v>176</v>
      </c>
      <c r="B82">
        <v>4</v>
      </c>
      <c r="C82" t="s">
        <v>367</v>
      </c>
      <c r="D82" t="s">
        <v>1</v>
      </c>
      <c r="E82" t="s">
        <v>368</v>
      </c>
    </row>
    <row r="83" spans="1:5" ht="13.5" x14ac:dyDescent="0.25">
      <c r="A83" t="s">
        <v>176</v>
      </c>
      <c r="B83">
        <v>5</v>
      </c>
      <c r="C83" t="s">
        <v>369</v>
      </c>
      <c r="D83" t="s">
        <v>1</v>
      </c>
      <c r="E83" t="s">
        <v>370</v>
      </c>
    </row>
    <row r="84" spans="1:5" ht="13.5" x14ac:dyDescent="0.25">
      <c r="A84" t="s">
        <v>176</v>
      </c>
      <c r="B84">
        <v>6</v>
      </c>
      <c r="C84" t="s">
        <v>371</v>
      </c>
      <c r="D84" t="s">
        <v>1</v>
      </c>
      <c r="E84" t="s">
        <v>372</v>
      </c>
    </row>
    <row r="85" spans="1:5" ht="13.5" x14ac:dyDescent="0.25">
      <c r="A85" t="s">
        <v>176</v>
      </c>
      <c r="B85">
        <v>7</v>
      </c>
      <c r="C85" t="s">
        <v>373</v>
      </c>
      <c r="D85" t="s">
        <v>1</v>
      </c>
      <c r="E85" t="s">
        <v>374</v>
      </c>
    </row>
    <row r="86" spans="1:5" ht="13.5" x14ac:dyDescent="0.25">
      <c r="A86" t="s">
        <v>176</v>
      </c>
      <c r="B86">
        <v>8</v>
      </c>
      <c r="C86" t="s">
        <v>375</v>
      </c>
      <c r="D86" t="s">
        <v>1</v>
      </c>
      <c r="E86" t="s">
        <v>376</v>
      </c>
    </row>
    <row r="87" spans="1:5" ht="13.5" x14ac:dyDescent="0.25">
      <c r="A87" t="s">
        <v>176</v>
      </c>
      <c r="B87">
        <v>9</v>
      </c>
      <c r="C87" t="s">
        <v>256</v>
      </c>
      <c r="D87" t="s">
        <v>1</v>
      </c>
      <c r="E87" t="s">
        <v>377</v>
      </c>
    </row>
    <row r="88" spans="1:5" ht="13.5" x14ac:dyDescent="0.25">
      <c r="A88" t="s">
        <v>182</v>
      </c>
      <c r="B88">
        <v>1</v>
      </c>
      <c r="C88" t="s">
        <v>378</v>
      </c>
      <c r="D88" t="s">
        <v>1</v>
      </c>
      <c r="E88" t="s">
        <v>379</v>
      </c>
    </row>
    <row r="89" spans="1:5" ht="13.5" x14ac:dyDescent="0.25">
      <c r="A89" t="s">
        <v>182</v>
      </c>
      <c r="B89">
        <v>2</v>
      </c>
      <c r="C89" t="s">
        <v>380</v>
      </c>
      <c r="D89" t="s">
        <v>1</v>
      </c>
      <c r="E89" t="s">
        <v>381</v>
      </c>
    </row>
    <row r="90" spans="1:5" ht="13.5" x14ac:dyDescent="0.25">
      <c r="A90" t="s">
        <v>182</v>
      </c>
      <c r="B90">
        <v>3</v>
      </c>
      <c r="C90" t="s">
        <v>382</v>
      </c>
      <c r="D90" t="s">
        <v>1</v>
      </c>
      <c r="E90" t="s">
        <v>383</v>
      </c>
    </row>
    <row r="91" spans="1:5" ht="13.5" x14ac:dyDescent="0.25">
      <c r="A91" t="s">
        <v>182</v>
      </c>
      <c r="B91">
        <v>4</v>
      </c>
      <c r="C91" t="s">
        <v>384</v>
      </c>
      <c r="D91" t="s">
        <v>1</v>
      </c>
      <c r="E91" t="s">
        <v>385</v>
      </c>
    </row>
    <row r="92" spans="1:5" ht="13.5" x14ac:dyDescent="0.25">
      <c r="A92" t="s">
        <v>182</v>
      </c>
      <c r="B92">
        <v>5</v>
      </c>
      <c r="C92" t="s">
        <v>386</v>
      </c>
      <c r="D92" t="s">
        <v>1</v>
      </c>
      <c r="E92" t="s">
        <v>387</v>
      </c>
    </row>
    <row r="93" spans="1:5" ht="13.5" x14ac:dyDescent="0.25">
      <c r="A93" t="s">
        <v>187</v>
      </c>
      <c r="B93">
        <v>1</v>
      </c>
      <c r="C93" t="s">
        <v>388</v>
      </c>
      <c r="D93" t="s">
        <v>1</v>
      </c>
      <c r="E93" t="s">
        <v>389</v>
      </c>
    </row>
    <row r="94" spans="1:5" ht="13.5" x14ac:dyDescent="0.25">
      <c r="A94" t="s">
        <v>187</v>
      </c>
      <c r="B94">
        <v>2</v>
      </c>
      <c r="C94" t="s">
        <v>390</v>
      </c>
      <c r="D94" t="s">
        <v>1</v>
      </c>
      <c r="E94" t="s">
        <v>391</v>
      </c>
    </row>
    <row r="95" spans="1:5" ht="13.5" x14ac:dyDescent="0.25">
      <c r="A95" t="s">
        <v>187</v>
      </c>
      <c r="B95">
        <v>3</v>
      </c>
      <c r="C95" t="s">
        <v>392</v>
      </c>
      <c r="D95" t="s">
        <v>1</v>
      </c>
      <c r="E95" t="s">
        <v>393</v>
      </c>
    </row>
    <row r="96" spans="1:5" ht="13.5" x14ac:dyDescent="0.25">
      <c r="A96" t="s">
        <v>187</v>
      </c>
      <c r="B96">
        <v>4</v>
      </c>
      <c r="C96" t="s">
        <v>394</v>
      </c>
      <c r="D96" t="s">
        <v>1</v>
      </c>
      <c r="E96" t="s">
        <v>395</v>
      </c>
    </row>
    <row r="97" spans="1:5" ht="13.5" x14ac:dyDescent="0.25">
      <c r="A97" t="s">
        <v>187</v>
      </c>
      <c r="B97">
        <v>5</v>
      </c>
      <c r="C97" t="s">
        <v>396</v>
      </c>
      <c r="D97" t="s">
        <v>1</v>
      </c>
      <c r="E97" t="s">
        <v>397</v>
      </c>
    </row>
    <row r="98" spans="1:5" ht="13.5" x14ac:dyDescent="0.25">
      <c r="A98" t="s">
        <v>187</v>
      </c>
      <c r="B98">
        <v>6</v>
      </c>
      <c r="C98" t="s">
        <v>398</v>
      </c>
      <c r="D98" t="s">
        <v>1</v>
      </c>
      <c r="E98" t="s">
        <v>399</v>
      </c>
    </row>
    <row r="99" spans="1:5" ht="13.5" x14ac:dyDescent="0.25">
      <c r="A99" t="s">
        <v>187</v>
      </c>
      <c r="B99">
        <v>7</v>
      </c>
      <c r="C99" t="s">
        <v>256</v>
      </c>
      <c r="D99" t="s">
        <v>1</v>
      </c>
      <c r="E99" t="s">
        <v>400</v>
      </c>
    </row>
  </sheetData>
  <autoFilter ref="A1:E99" xr:uid="{00000000-0009-0000-0000-000002000000}"/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5" customWidth="1"/>
    <col min="3" max="3" width="68" customWidth="1"/>
    <col min="4" max="4" width="52" customWidth="1"/>
  </cols>
  <sheetData>
    <row r="1" spans="1:4" ht="13.5" x14ac:dyDescent="0.25">
      <c r="A1" s="1" t="s">
        <v>401</v>
      </c>
      <c r="B1" s="1" t="s">
        <v>402</v>
      </c>
      <c r="C1" s="1" t="s">
        <v>403</v>
      </c>
      <c r="D1" s="1" t="s">
        <v>404</v>
      </c>
    </row>
    <row r="2" spans="1:4" ht="13.5" x14ac:dyDescent="0.25">
      <c r="A2" t="s">
        <v>98</v>
      </c>
      <c r="B2" t="s">
        <v>405</v>
      </c>
      <c r="C2" t="s">
        <v>406</v>
      </c>
      <c r="D2" t="s">
        <v>407</v>
      </c>
    </row>
    <row r="3" spans="1:4" ht="13.5" x14ac:dyDescent="0.25">
      <c r="A3" t="s">
        <v>408</v>
      </c>
      <c r="B3" t="s">
        <v>409</v>
      </c>
      <c r="C3" t="s">
        <v>410</v>
      </c>
      <c r="D3" t="s">
        <v>411</v>
      </c>
    </row>
    <row r="4" spans="1:4" ht="13.5" x14ac:dyDescent="0.25">
      <c r="A4" t="s">
        <v>412</v>
      </c>
      <c r="B4" t="s">
        <v>413</v>
      </c>
      <c r="C4" t="s">
        <v>414</v>
      </c>
      <c r="D4" t="s">
        <v>415</v>
      </c>
    </row>
    <row r="5" spans="1:4" ht="13.5" x14ac:dyDescent="0.25">
      <c r="A5" t="s">
        <v>138</v>
      </c>
      <c r="B5" t="s">
        <v>416</v>
      </c>
      <c r="C5" t="s">
        <v>417</v>
      </c>
      <c r="D5" t="s">
        <v>418</v>
      </c>
    </row>
    <row r="6" spans="1:4" ht="13.5" x14ac:dyDescent="0.25">
      <c r="A6" t="s">
        <v>419</v>
      </c>
      <c r="B6" t="s">
        <v>420</v>
      </c>
      <c r="C6" t="s">
        <v>421</v>
      </c>
      <c r="D6" t="s">
        <v>422</v>
      </c>
    </row>
    <row r="7" spans="1:4" ht="13.5" x14ac:dyDescent="0.25">
      <c r="A7" t="s">
        <v>423</v>
      </c>
      <c r="B7" t="s">
        <v>424</v>
      </c>
      <c r="C7" t="s">
        <v>425</v>
      </c>
      <c r="D7" t="s">
        <v>426</v>
      </c>
    </row>
    <row r="8" spans="1:4" ht="13.5" x14ac:dyDescent="0.25">
      <c r="A8" t="s">
        <v>427</v>
      </c>
      <c r="B8" t="s">
        <v>428</v>
      </c>
      <c r="C8" t="s">
        <v>429</v>
      </c>
      <c r="D8" t="s">
        <v>430</v>
      </c>
    </row>
    <row r="9" spans="1:4" ht="13.5" x14ac:dyDescent="0.25">
      <c r="A9" t="s">
        <v>431</v>
      </c>
      <c r="B9" t="s">
        <v>432</v>
      </c>
      <c r="C9" t="s">
        <v>433</v>
      </c>
      <c r="D9" t="s">
        <v>434</v>
      </c>
    </row>
    <row r="10" spans="1:4" ht="13.5" x14ac:dyDescent="0.25">
      <c r="A10" t="s">
        <v>1</v>
      </c>
      <c r="B10" t="s">
        <v>1</v>
      </c>
      <c r="C10" t="s">
        <v>1</v>
      </c>
      <c r="D10" t="s">
        <v>1</v>
      </c>
    </row>
    <row r="11" spans="1:4" ht="13.5" x14ac:dyDescent="0.25">
      <c r="A11" t="s">
        <v>435</v>
      </c>
      <c r="B11" t="s">
        <v>1</v>
      </c>
      <c r="C11" t="s">
        <v>1</v>
      </c>
      <c r="D11" t="s">
        <v>1</v>
      </c>
    </row>
    <row r="12" spans="1:4" ht="13.5" x14ac:dyDescent="0.25">
      <c r="A12" t="s">
        <v>40</v>
      </c>
      <c r="B12" t="s">
        <v>436</v>
      </c>
      <c r="C12" t="s">
        <v>1</v>
      </c>
      <c r="D12" t="s">
        <v>1</v>
      </c>
    </row>
    <row r="13" spans="1:4" ht="13.5" x14ac:dyDescent="0.25">
      <c r="A13" t="s">
        <v>44</v>
      </c>
      <c r="B13" t="s">
        <v>437</v>
      </c>
      <c r="C13" t="s">
        <v>1</v>
      </c>
      <c r="D13" t="s">
        <v>1</v>
      </c>
    </row>
    <row r="14" spans="1:4" ht="13.5" x14ac:dyDescent="0.25">
      <c r="A14" t="s">
        <v>48</v>
      </c>
      <c r="B14" t="s">
        <v>438</v>
      </c>
      <c r="C14" t="s">
        <v>1</v>
      </c>
      <c r="D14" t="s">
        <v>1</v>
      </c>
    </row>
    <row r="15" spans="1:4" ht="13.5" x14ac:dyDescent="0.25">
      <c r="A15" t="s">
        <v>52</v>
      </c>
      <c r="B15" t="s">
        <v>439</v>
      </c>
      <c r="C15" t="s">
        <v>1</v>
      </c>
      <c r="D15" t="s">
        <v>1</v>
      </c>
    </row>
    <row r="16" spans="1:4" ht="13.5" x14ac:dyDescent="0.25">
      <c r="A16" t="s">
        <v>55</v>
      </c>
      <c r="B16" t="s">
        <v>440</v>
      </c>
      <c r="C16" t="s">
        <v>1</v>
      </c>
      <c r="D16" t="s">
        <v>1</v>
      </c>
    </row>
  </sheetData>
  <autoFilter ref="A1:D9" xr:uid="{00000000-0009-0000-0000-000003000000}"/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pane ySplit="1" topLeftCell="A2" activePane="bottomLeft" state="frozen"/>
      <selection pane="bottomLeft" activeCell="A4" sqref="A4:XFD4"/>
    </sheetView>
  </sheetViews>
  <sheetFormatPr defaultRowHeight="15" x14ac:dyDescent="0.25"/>
  <cols>
    <col min="1" max="1" width="10" customWidth="1"/>
    <col min="2" max="2" width="65" customWidth="1"/>
    <col min="3" max="3" width="62" customWidth="1"/>
    <col min="4" max="4" width="20" customWidth="1"/>
  </cols>
  <sheetData>
    <row r="1" spans="1:4" ht="13.5" x14ac:dyDescent="0.25">
      <c r="A1" s="1" t="s">
        <v>76</v>
      </c>
      <c r="B1" s="1" t="s">
        <v>441</v>
      </c>
      <c r="C1" s="1" t="s">
        <v>442</v>
      </c>
      <c r="D1" s="1" t="s">
        <v>443</v>
      </c>
    </row>
    <row r="2" spans="1:4" ht="13.5" x14ac:dyDescent="0.25">
      <c r="A2" t="s">
        <v>444</v>
      </c>
      <c r="B2" t="s">
        <v>445</v>
      </c>
      <c r="C2" t="s">
        <v>446</v>
      </c>
      <c r="D2" t="s">
        <v>447</v>
      </c>
    </row>
    <row r="3" spans="1:4" ht="13.5" x14ac:dyDescent="0.25">
      <c r="A3" t="s">
        <v>448</v>
      </c>
      <c r="B3" t="s">
        <v>449</v>
      </c>
      <c r="C3" t="s">
        <v>450</v>
      </c>
      <c r="D3" t="s">
        <v>447</v>
      </c>
    </row>
    <row r="4" spans="1:4" ht="13.5" x14ac:dyDescent="0.25">
      <c r="A4" t="s">
        <v>451</v>
      </c>
      <c r="B4" t="s">
        <v>452</v>
      </c>
      <c r="C4" t="s">
        <v>453</v>
      </c>
      <c r="D4" t="s">
        <v>447</v>
      </c>
    </row>
    <row r="5" spans="1:4" ht="13.5" x14ac:dyDescent="0.25">
      <c r="A5" t="s">
        <v>454</v>
      </c>
      <c r="B5" t="s">
        <v>455</v>
      </c>
      <c r="C5" t="s">
        <v>456</v>
      </c>
      <c r="D5" t="s">
        <v>447</v>
      </c>
    </row>
    <row r="6" spans="1:4" ht="13.5" x14ac:dyDescent="0.25">
      <c r="A6" t="s">
        <v>457</v>
      </c>
      <c r="B6" t="s">
        <v>458</v>
      </c>
      <c r="C6" t="s">
        <v>459</v>
      </c>
      <c r="D6" t="s">
        <v>447</v>
      </c>
    </row>
    <row r="7" spans="1:4" ht="13.5" x14ac:dyDescent="0.25">
      <c r="A7" t="s">
        <v>460</v>
      </c>
      <c r="B7" t="s">
        <v>461</v>
      </c>
      <c r="C7" t="s">
        <v>462</v>
      </c>
      <c r="D7" t="s">
        <v>447</v>
      </c>
    </row>
    <row r="8" spans="1:4" ht="13.5" x14ac:dyDescent="0.25">
      <c r="A8" t="s">
        <v>463</v>
      </c>
      <c r="B8" t="s">
        <v>464</v>
      </c>
      <c r="C8" t="s">
        <v>465</v>
      </c>
      <c r="D8" t="s">
        <v>447</v>
      </c>
    </row>
    <row r="9" spans="1:4" ht="13.5" x14ac:dyDescent="0.25">
      <c r="A9" t="s">
        <v>466</v>
      </c>
      <c r="B9" t="s">
        <v>467</v>
      </c>
      <c r="C9" t="s">
        <v>468</v>
      </c>
      <c r="D9" t="s">
        <v>447</v>
      </c>
    </row>
    <row r="10" spans="1:4" ht="13.5" x14ac:dyDescent="0.25">
      <c r="A10" t="s">
        <v>469</v>
      </c>
      <c r="B10" t="s">
        <v>470</v>
      </c>
      <c r="C10" t="s">
        <v>471</v>
      </c>
      <c r="D10" t="s">
        <v>447</v>
      </c>
    </row>
  </sheetData>
  <autoFilter ref="A1:D10" xr:uid="{00000000-0009-0000-0000-000004000000}"/>
  <pageMargins left="0.3" right="0.3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"/>
  <sheetViews>
    <sheetView workbookViewId="0">
      <pane ySplit="2" topLeftCell="A3" activePane="bottomLeft" state="frozen"/>
      <selection pane="bottomLeft" activeCell="D17" sqref="D17"/>
    </sheetView>
  </sheetViews>
  <sheetFormatPr defaultRowHeight="15" x14ac:dyDescent="0.25"/>
  <cols>
    <col min="1" max="1" width="16" customWidth="1"/>
    <col min="2" max="2" width="20" customWidth="1"/>
    <col min="3" max="26" width="24" customWidth="1"/>
  </cols>
  <sheetData>
    <row r="1" spans="1:26" ht="13.5" x14ac:dyDescent="0.25">
      <c r="A1" s="1" t="s">
        <v>472</v>
      </c>
      <c r="B1" s="1" t="s">
        <v>473</v>
      </c>
      <c r="C1" s="1" t="s">
        <v>89</v>
      </c>
      <c r="D1" s="1" t="s">
        <v>93</v>
      </c>
      <c r="E1" s="1" t="s">
        <v>95</v>
      </c>
      <c r="F1" s="1" t="s">
        <v>99</v>
      </c>
      <c r="G1" s="1" t="s">
        <v>103</v>
      </c>
      <c r="H1" s="1" t="s">
        <v>107</v>
      </c>
      <c r="I1" s="1" t="s">
        <v>114</v>
      </c>
      <c r="J1" s="1" t="s">
        <v>121</v>
      </c>
      <c r="K1" s="1" t="s">
        <v>127</v>
      </c>
      <c r="L1" s="1" t="s">
        <v>133</v>
      </c>
      <c r="M1" s="1" t="s">
        <v>139</v>
      </c>
      <c r="N1" s="1" t="s">
        <v>146</v>
      </c>
      <c r="O1" s="1" t="s">
        <v>151</v>
      </c>
      <c r="P1" s="1" t="s">
        <v>156</v>
      </c>
      <c r="Q1" s="1" t="s">
        <v>161</v>
      </c>
      <c r="R1" s="1" t="s">
        <v>166</v>
      </c>
      <c r="S1" s="1" t="s">
        <v>171</v>
      </c>
      <c r="T1" s="1" t="s">
        <v>176</v>
      </c>
      <c r="U1" s="1" t="s">
        <v>182</v>
      </c>
      <c r="V1" s="1" t="s">
        <v>187</v>
      </c>
      <c r="W1" s="1" t="s">
        <v>192</v>
      </c>
      <c r="X1" s="1" t="s">
        <v>193</v>
      </c>
      <c r="Y1" s="1" t="s">
        <v>196</v>
      </c>
      <c r="Z1" s="1" t="s">
        <v>201</v>
      </c>
    </row>
    <row r="2" spans="1:26" ht="13.5" x14ac:dyDescent="0.25">
      <c r="A2" t="s">
        <v>474</v>
      </c>
      <c r="B2" t="s">
        <v>475</v>
      </c>
      <c r="C2" t="s">
        <v>476</v>
      </c>
      <c r="D2" t="s">
        <v>94</v>
      </c>
      <c r="E2" t="s">
        <v>96</v>
      </c>
      <c r="F2" t="s">
        <v>100</v>
      </c>
      <c r="G2" t="s">
        <v>477</v>
      </c>
      <c r="H2" t="s">
        <v>478</v>
      </c>
      <c r="I2" t="s">
        <v>479</v>
      </c>
      <c r="J2" t="s">
        <v>122</v>
      </c>
      <c r="K2" t="s">
        <v>480</v>
      </c>
      <c r="L2" t="s">
        <v>481</v>
      </c>
      <c r="M2" t="s">
        <v>482</v>
      </c>
      <c r="N2" t="s">
        <v>483</v>
      </c>
      <c r="O2" t="s">
        <v>484</v>
      </c>
      <c r="P2" t="s">
        <v>485</v>
      </c>
      <c r="Q2" t="s">
        <v>162</v>
      </c>
      <c r="R2" t="s">
        <v>167</v>
      </c>
      <c r="S2" t="s">
        <v>486</v>
      </c>
      <c r="T2" t="s">
        <v>487</v>
      </c>
      <c r="U2" t="s">
        <v>488</v>
      </c>
      <c r="V2" t="s">
        <v>489</v>
      </c>
      <c r="W2" t="s">
        <v>490</v>
      </c>
      <c r="X2" t="s">
        <v>194</v>
      </c>
      <c r="Y2" t="s">
        <v>491</v>
      </c>
      <c r="Z2" t="s">
        <v>492</v>
      </c>
    </row>
  </sheetData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Visão Geral</vt:lpstr>
      <vt:lpstr>Roteiro Forms</vt:lpstr>
      <vt:lpstr>Opções</vt:lpstr>
      <vt:lpstr>Mapa de análise</vt:lpstr>
      <vt:lpstr>Checklist Forms</vt:lpstr>
      <vt:lpstr>Respostas piloto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Lopes, Tatyele (CONTRACTOR)</cp:lastModifiedBy>
  <dcterms:modified xsi:type="dcterms:W3CDTF">2026-09-13T00:00:01Z</dcterms:modified>
</cp:coreProperties>
</file>