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23/09/2026 22:38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Mestre'!A2:A145)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Mestre'!I2:I145,"Concluído")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Mestre'!I2:I145,"Em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Mestre'!I2:I145,"Não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Mestre'!M2:M145)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Mestre'!J2:J145)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Mestre'!B2:B145,"Descoberta")</f>
        <v>0</v>
      </c>
      <c r="C12" s="2">
        <f>COUNTIFS('Plano Mestre'!B2:B145,"Descoberta",'Plano Mestre'!I2:I145,"Concluído")</f>
        <v>0</v>
      </c>
    </row>
    <row r="13">
      <c r="A13" s="0" t="inlineStr">
        <is>
          <t>Planejamento</t>
        </is>
      </c>
      <c r="B13" s="2">
        <f>COUNTIF('Plano Mestre'!B2:B145,"Planejamento")</f>
        <v>0</v>
      </c>
      <c r="C13" s="2">
        <f>COUNTIFS('Plano Mestre'!B2:B145,"Planejamento",'Plano Mestre'!I2:I145,"Concluído")</f>
        <v>0</v>
      </c>
    </row>
    <row r="14">
      <c r="A14" s="0" t="inlineStr">
        <is>
          <t>Marca</t>
        </is>
      </c>
      <c r="B14" s="2">
        <f>COUNTIF('Plano Mestre'!B2:B145,"Marca")</f>
        <v>0</v>
      </c>
      <c r="C14" s="2">
        <f>COUNTIFS('Plano Mestre'!B2:B145,"Marca",'Plano Mestre'!I2:I145,"Concluído")</f>
        <v>0</v>
      </c>
    </row>
    <row r="15">
      <c r="A15" s="0" t="inlineStr">
        <is>
          <t>UX/UI</t>
        </is>
      </c>
      <c r="B15" s="2">
        <f>COUNTIF('Plano Mestre'!B2:B145,"UX/UI")</f>
        <v>0</v>
      </c>
      <c r="C15" s="2">
        <f>COUNTIFS('Plano Mestre'!B2:B145,"UX/UI",'Plano Mestre'!I2:I145,"Concluído")</f>
        <v>0</v>
      </c>
    </row>
    <row r="16">
      <c r="A16" s="0" t="inlineStr">
        <is>
          <t>Arquitetura</t>
        </is>
      </c>
      <c r="B16" s="2">
        <f>COUNTIF('Plano Mestre'!B2:B145,"Arquitetura")</f>
        <v>0</v>
      </c>
      <c r="C16" s="2">
        <f>COUNTIFS('Plano Mestre'!B2:B145,"Arquitetura",'Plano Mestre'!I2:I145,"Concluído")</f>
        <v>0</v>
      </c>
    </row>
    <row r="17">
      <c r="A17" s="0" t="inlineStr">
        <is>
          <t>Infraestrutura</t>
        </is>
      </c>
      <c r="B17" s="2">
        <f>COUNTIF('Plano Mestre'!B2:B145,"Infraestrutura")</f>
        <v>0</v>
      </c>
      <c r="C17" s="2">
        <f>COUNTIFS('Plano Mestre'!B2:B145,"Infraestrutura",'Plano Mestre'!I2:I145,"Concluído")</f>
        <v>0</v>
      </c>
    </row>
    <row r="18">
      <c r="A18" s="0" t="inlineStr">
        <is>
          <t>Backend</t>
        </is>
      </c>
      <c r="B18" s="2">
        <f>COUNTIF('Plano Mestre'!B2:B145,"Backend")</f>
        <v>0</v>
      </c>
      <c r="C18" s="2">
        <f>COUNTIFS('Plano Mestre'!B2:B145,"Backend",'Plano Mestre'!I2:I145,"Concluído")</f>
        <v>0</v>
      </c>
    </row>
    <row r="19">
      <c r="A19" s="0" t="inlineStr">
        <is>
          <t>Frontend</t>
        </is>
      </c>
      <c r="B19" s="2">
        <f>COUNTIF('Plano Mestre'!B2:B145,"Frontend")</f>
        <v>0</v>
      </c>
      <c r="C19" s="2">
        <f>COUNTIFS('Plano Mestre'!B2:B145,"Frontend",'Plano Mestre'!I2:I145,"Concluído")</f>
        <v>0</v>
      </c>
    </row>
    <row r="20">
      <c r="A20" s="0" t="inlineStr">
        <is>
          <t>Conteúdo</t>
        </is>
      </c>
      <c r="B20" s="2">
        <f>COUNTIF('Plano Mestre'!B2:B145,"Conteúdo")</f>
        <v>0</v>
      </c>
      <c r="C20" s="2">
        <f>COUNTIFS('Plano Mestre'!B2:B145,"Conteúdo",'Plano Mestre'!I2:I145,"Concluído")</f>
        <v>0</v>
      </c>
    </row>
    <row r="21">
      <c r="A21" s="0" t="inlineStr">
        <is>
          <t>Qualidade</t>
        </is>
      </c>
      <c r="B21" s="2">
        <f>COUNTIF('Plano Mestre'!B2:B145,"Qualidade")</f>
        <v>0</v>
      </c>
      <c r="C21" s="2">
        <f>COUNTIFS('Plano Mestre'!B2:B145,"Qualidade",'Plano Mestre'!I2:I145,"Concluído")</f>
        <v>0</v>
      </c>
    </row>
    <row r="22">
      <c r="A22" s="0" t="inlineStr">
        <is>
          <t>Jurídico</t>
        </is>
      </c>
      <c r="B22" s="2">
        <f>COUNTIF('Plano Mestre'!B2:B145,"Jurídico")</f>
        <v>0</v>
      </c>
      <c r="C22" s="2">
        <f>COUNTIFS('Plano Mestre'!B2:B145,"Jurídico",'Plano Mestre'!I2:I145,"Concluído")</f>
        <v>0</v>
      </c>
    </row>
    <row r="23">
      <c r="A23" s="0" t="inlineStr">
        <is>
          <t>Lançamento</t>
        </is>
      </c>
      <c r="B23" s="2">
        <f>COUNTIF('Plano Mestre'!B2:B145,"Lançamento")</f>
        <v>0</v>
      </c>
      <c r="C23" s="2">
        <f>COUNTIFS('Plano Mestre'!B2:B145,"Lançamento",'Plano Mestre'!I2:I145,"Concluído")</f>
        <v>0</v>
      </c>
    </row>
    <row r="24">
      <c r="A24" s="0" t="inlineStr">
        <is>
          <t>Pós-lançamento</t>
        </is>
      </c>
      <c r="B24" s="2">
        <f>COUNTIF('Plano Mestre'!B2:B145,"Pós-lançamento")</f>
        <v>0</v>
      </c>
      <c r="C24" s="2">
        <f>COUNTIFS('Plano Mestre'!B2:B145,"Pós-lançamento",'Plano Mestre'!I2:I145,"Concluído")</f>
        <v>0</v>
      </c>
    </row>
    <row r="25">
      <c r="A25" s="0" t="inlineStr">
        <is>
          <t>MPV de teste</t>
        </is>
      </c>
      <c r="B25" s="2">
        <f>COUNTIF('Plano Mestre'!B2:B145,"MPV de teste")</f>
        <v>0</v>
      </c>
      <c r="C25" s="2">
        <f>COUNTIFS('Plano Mestre'!B2:B145,"MPV de teste",'Plano Mestre'!I2:I145,"Concluído")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home do casal conectado aprovada visualmente pela Product Owner em 23/09/2026 com as quatro dinâmicas de Explorem juntos acima do cartão Gesto de hoje - pendente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durante a revisão de 23/09/2026 a configuração recebeu seleção de temas por cápsulas quarto formato Múltipla escolha funcional e níveis Leve e Profunda com conteúdo ilustrativo do protótipo - verificação de estados automatizada - validação visual da configuração rodada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as 32 combinações da implementação binária atual foram mapeadas em Conteúdo/mapeamento-linguagens-do-amor.xlsx com gerador e validador próprios - o mapeamento evidenciou desempate atual por primeira ocorrência divergente da regra TR-11 e pendente de decisão editorial - revisão visual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22</v>
      </c>
      <c r="K28" s="0" t="inlineStr">
        <is>
          <t>21/09/2026</t>
        </is>
      </c>
      <c r="L28" s="0" t="inlineStr">
        <is>
          <t/>
        </is>
      </c>
      <c r="M28" s="3">
        <v>0.5</v>
      </c>
      <c r="N28" s="0" t="inlineStr">
        <is>
          <t>Revisão página por página iniciada em 21/09/2026 - onboarding cadastro pareamento convite Home Correio do Amor e Perfil aprovados visualmente pela Product Owner até 23/09/2026 - configuração de Perguntas que aproximam recebeu Múltipla escolha temas com corações e níveis Leve e Profunda em /wireframes/perguntas - página inicial de As linguagens do amor disponibilizada em /wireframes/linguagens-do-amor para a próxima revisão - evidências desktop e mobile em docs - primeira rodada permanece disponível em /wireframes/pergunta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Concluído</t>
        </is>
      </c>
      <c r="J41" s="0">
        <v>10</v>
      </c>
      <c r="K41" s="0" t="inlineStr">
        <is>
          <t>17/09/2026</t>
        </is>
      </c>
      <c r="L41" s="0" t="inlineStr">
        <is>
          <t>17/09/2026</t>
        </is>
      </c>
      <c r="M41" s="3">
        <v>1</v>
      </c>
      <c r="N41" s="0" t="inlineStr">
        <is>
          <t>Workflow GitHub Actions em .github/workflows/ci.yml com Ubuntu 24.04 Node 24.20.0 cache npm instalação por lockfile permissões somente leitura concorrência timeout e gates de lint formato build OpenAPI ameaças LGPD feedback produção matriz móvel e planilha — documentação em docs/INTEGRACAO-CONTINUA.md — execução remota 1 aprovada em https://github.com/tatyelopes/APPDOAMOR/actions/runs/35267092012</t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>16/09/2026</t>
        </is>
      </c>
      <c r="L42" s="0" t="inlineStr">
        <is>
          <t/>
        </is>
      </c>
      <c r="M42" s="3">
        <v>0.5</v>
      </c>
      <c r="N42" s="0" t="inlineStr">
        <is>
          <t>PostgreSQL gratuito temporário do feedback ativo no Render — em 17/09/2026 foram adicionados PostgreSQL 18 local via Compose executor transacional com lock e checksum duas migrações versionadas para 12 tabelas de domínio mais schema_migrations validação real aprovada em https://github.com/tatyelopes/APPDOAMOR/actions/runs/35269876662 e bootstrap automático da API aprovado no CI em https://github.com/tatyelopes/APPDOAMOR/actions/runs/35288177777 — após novo deploy a migração automática e a exportação protegida foram confirmadas ao vivo com base vazia — ainda integrar cadastro casal sessões respostas e analytics migrar dados legados com reconciliação e provisionar homologação e produção definitivas isoladas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Em andamento</t>
        </is>
      </c>
      <c r="J43" s="0">
        <v>6</v>
      </c>
      <c r="K43" s="0" t="inlineStr">
        <is>
          <t>17/09/2026</t>
        </is>
      </c>
      <c r="L43" s="0" t="inlineStr">
        <is>
          <t/>
        </is>
      </c>
      <c r="M43" s="3">
        <v>0.5</v>
      </c>
      <c r="N43" s="0" t="inlineStr">
        <is>
          <t>Baseline gratuita implementada em docs/GESTAO-DE-SEGREDOS.md com inventário matriz por ambiente geração local criptograficamente aleatória sem exibição validação fail-closed em runtime scanner de arquivos rastreados staged e histórico hook pre-commit gate aprovado em https://github.com/tatyelopes/APPDOAMOR/actions/runs/35272382976 modelo de rotação e injeção atual do Render — token de exportação do MPV rotacionado em 17/09/2026 após exposição acidental e salvo localmente sem exibição — pendentes cofres e identidades definitivos de homologação e produção e responsáveis nominais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Concluído</t>
        </is>
      </c>
      <c r="J44" s="0">
        <v>12</v>
      </c>
      <c r="K44" s="0" t="inlineStr">
        <is>
          <t>17/09/2026</t>
        </is>
      </c>
      <c r="L44" s="0" t="inlineStr">
        <is>
          <t>17/09/2026</t>
        </is>
      </c>
      <c r="M44" s="3">
        <v>1</v>
      </c>
      <c r="N44" s="0" t="inlineStr">
        <is>
          <t>Logs JSON com ambiente versão request ID rota normalizada status e duração sem corpo ou mensagem interna — erros 500 genéricos — sondas separadas de vida e prontidão com consulta real ao PostgreSQL — métricas de requisições erros prontidão latência memória e uptime protegidas — monitor gratuito do GitHub a cada 15 minutos com três tentativas abertura de issue única e encerramento após recuperação — teste com canário privado e documentação em docs/OBSERVABILIDADE.md — histórico durável thresholds por ambiente e alertas de backup seguem nas tarefas 123 118 e 93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formas de afeto e resultado bilateral</t>
        </is>
      </c>
      <c r="E57" s="0" t="inlineStr">
        <is>
          <t>Serviço de avaliação e composição consentida</t>
        </is>
      </c>
      <c r="F57" s="0" t="inlineStr">
        <is>
          <t>Alta</t>
        </is>
      </c>
      <c r="G57" s="0" t="inlineStr">
        <is>
          <t>49,77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24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>Manter resultado individual privado e versionado - compor visão bilateral somente quando as duas pessoas concluírem a mesma versão e compartilharem - apresentar forças complementaridades oportunidades e sugestões aprovadas sem nota de compatibilidade - revogação ou desvinculação encerra acesso</t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49,56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>Incluir sugestão semanal derivada do resultado bilateral somente por opt-in individual - frequência dia horário pausa e desligamento configuráveis - cancelar ao revogar compartilhamento ou vínculo - payload de push neutro sem resultado ou tema íntimo</t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>22/09/2026</t>
        </is>
      </c>
      <c r="L63" s="0" t="inlineStr">
        <is>
          <t/>
        </is>
      </c>
      <c r="M63" s="3">
        <v>0.5</v>
      </c>
      <c r="N63" s="0" t="inlineStr">
        <is>
          <t>Layout de cadastro aprovado pela Product Owner em 22/09/2026 na rota /wireframes/cadastro com chamada removida título em duas linhas e estrela dourada - integração funcional existente preservada - modo de login permanece pendente de revisão</t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>22/09/2026</t>
        </is>
      </c>
      <c r="L64" s="0" t="inlineStr">
        <is>
          <t/>
        </is>
      </c>
      <c r="M64" s="3">
        <v>0.5</v>
      </c>
      <c r="N64" s="0" t="inlineStr">
        <is>
          <t>Criação entrada e espera implementadas - telas de escolha e de convite e espera aprovadas visualmente pela Product Owner em 23/09/2026 nas rotas /wireframes/conectar e /wireframes/convite - indicadores das três etapas ampliados e iluminados em dourado - erro de atualização sem mensagem e confirmação de cópia sem clipboard permanecem pendentes antes da validação funcional completa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>Tela atual de conta vínculo código do casal atualização e saída aprovada visualmente pela Product Owner em 23/09/2026 na rota /wireframes/perfil - preferências privacidade e gestão de vínculo previstas no escopo completo permanecem pendentes</t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aprovada visualmente pela Product Owner em 23/09/2026 na rota /wireframes/home com Explorem juntos e as quatro dinâmicas primeiro e Gesto de hoje abaixo sem duplicação - ainda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18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Configuração do jogo local em /wireframes/perguntas ajustada em 23/09/2026 com temas em cápsulas selecionáveis escolha funcional entre Leve e Profunda quatro formatos em grade e Múltipla escolha com seleção e confirmação separadas - o nível altera perguntas desafios e alternativas da sessão - conteúdo atual é ilustrativo e aguarda aprovação editorial da tarefa 108 - catálogo remoto e harmonização na tarefa 112 permanecem pendentes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formas de afeto e visão bilateral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24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>Primeira pergunta da experiência individual disponibilizada para revisão visual em /wireframes/linguagens-do-amor em 23/09/2026 - lógica binária atual documentada em planilha com 32 combinações pontuações empates e resultados - desempate por primeira ocorrência deve ser substituído ou aprovado editorialmente antes da validação - preservar resultado individual e compartilhamento explícito - após duas conclusões compatíveis apresentar forças compartilhadas formas complementares oportunidades de cuidado e sugestões do que cada pessoa pode experimentar pela outra - sem diagnóstico déficit ou nota de compatibilidade</t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58,69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20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>Oferecer ativação individual de sugestão semanal após visão bilateral - permitir configurar pausar e desligar - push neutro abre conteúdo apenas após autenticação e não registra gesto como prova ou progresso</t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28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Produzir matriz candidata e validar sugestões de cuidado por combinação de formas de afeto além dos lotes de atividades - recomendações devem ser pequenas adaptáveis e orientadas pela preferência de quem recebe - distinguir conteúdo candidato de aprovado - seleção mínima de 60 atividades e conteúdo íntimo restrito conforme baseline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87,90,92-95,77,116,117,119,121,122,143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do primeiro piloto - resultado bilateral e lembrete semanal da tarefa 143 são obrigatórios para o aceite pré-lançamento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interface funcional usa temporariamente pergunta e quatro alternativas ilustrativas já definidas no protótipo sem promover conteúdo candidato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apresentados em cápsulas responsivas com ícones de coração seleção de nível Leve ou Profunda e quatro formatos Perguntas discursivas Múltipla escolha Desafios e modo misto - múltipla escolha exige seleção seguida de confirmação - respostas por jogador confirmação individual de desafios pular e reiniciar disponíveis - configuração ajustada em /wireframes/perguntas em 23/09/2026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Em andamento</t>
        </is>
      </c>
      <c r="J112" s="0">
        <v>16</v>
      </c>
      <c r="K112" s="0" t="inlineStr">
        <is>
          <t>21/09/2026</t>
        </is>
      </c>
      <c r="L112" s="0" t="inlineStr">
        <is>
          <t/>
        </is>
      </c>
      <c r="M112" s="3">
        <v>0.5</v>
      </c>
      <c r="N112" s="0" t="inlineStr">
        <is>
          <t>Primeira fatia em /api/v1/game-sessions cria e retoma partidas autenticadas com idempotência isolamento por casal participantes e snapshots do catálogo atual - validação ponta a ponta em scripts/validate-game-sessions.mjs e contrato marcado como parcial - pendentes persistência PostgreSQL respostas progresso transacional retomada no frontend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Concluído</t>
        </is>
      </c>
      <c r="J113" s="0">
        <v>8</v>
      </c>
      <c r="K113" s="0" t="inlineStr">
        <is>
          <t>21/09/2026</t>
        </is>
      </c>
      <c r="L113" s="0" t="inlineStr">
        <is>
          <t>21/09/2026</t>
        </is>
      </c>
      <c r="M113" s="3">
        <v>1</v>
      </c>
      <c r="N113" s="0" t="inlineStr">
        <is>
          <t>Baseline aprovada em docs/DECISAO-ESCOPO-PILOTO-2026-09-21.md - primeiro piloto inclui três níveis perguntas desafios modo misto e desafio na adivinhação - resultado bilateral e lembrete semanal ficam na iteração seguinte pela tarefa 143 e são obrigatórios antes da UAT e do lançamento - PRD escopo MoSCoW e rastreabilidade atualizados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32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Incluir perguntas de preferência e variação de gesto ou desafio desejado - palpite e revelação separados do aceite bilateral para executar adaptar trocar ou pular sem prova - incluir modelo de tentativas API interface autoria consentimento e testes - execução condicionada à baseline 112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17/09/2026</t>
        </is>
      </c>
      <c r="M136" s="3">
        <v>1</v>
      </c>
      <c r="N136" s="0" t="inlineStr">
        <is>
          <t>Versão ampliada publicada por HTTPS no Render gratuito com três experiências baralho visual Web Service PostgreSQL de 1 GB sonda de saúde CORS restrito bloqueio de indexação e segredo operacional — novo gameId persistido e exportado base técnica limpa e banco expira em 16/10/2026 sem backup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Concluído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1</v>
      </c>
      <c r="N137" s="0" t="inlineStr">
        <is>
          <t>Validação com cinco casais aceita como concluída pela Product Owner em 21/09/2026 - decisão e limites registrados em docs/VALIDACAO-MPV-CINCO-CASAIS-2026-09-21.md - continuar o formato com ajustes - os comentários qualitativos foram aceitos como achados da rodada e os 5 sinais anônimos da API permanecem apenas como evidência agregada - a passagem física 142 segue como hardening de qualidade sem bloquear este aceite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Concluído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1</v>
      </c>
      <c r="N138" s="0" t="inlineStr">
        <is>
          <t>Concluído em 21/09/2026 com registro em docs/FEEDBACK-DE-PRODUTO-2026-09-21.md e docs/VALIDACAO-MPV-CINCO-CASAIS-2026-09-21.md - PRD escopo fluxos e tarefas 56 58 66 69 72 77 112 e 113 atualizados - decisão de continuar o formato com ajustes sem interpretar os achados como prevalência estatística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17/09/2026</t>
        </is>
      </c>
      <c r="M140" s="3">
        <v>1</v>
      </c>
      <c r="N140" s="0" t="inlineStr">
        <is>
          <t>POST anônimo com validação idempotência controle de origem rate limit armazenamento PostgreSQL remoto fallback JSON local e exportação CSV protegida — schema ampliado e validado ao vivo para love-style-sample em 17/09/2026 sem armazenar respostas ou resultado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Versão ampliada publicada e aprovada em cinco viewports 185 estados 15 feedbacks sintéticos três experiências baralho resultado nome oculto PostgreSQL e exportação ao vivo — registro técnico removido e acesso externo ao banco fechado — pendente somente repetir a passagem física no Chrome — Safari segue adiado</t>
        </is>
      </c>
    </row>
    <row r="144">
      <c r="A144" s="0">
        <v>143</v>
      </c>
      <c r="B144" s="0" t="inlineStr">
        <is>
          <t>Frontend</t>
        </is>
      </c>
      <c r="C144" s="0" t="inlineStr">
        <is>
          <t>Integração</t>
        </is>
      </c>
      <c r="D144" s="0" t="inlineStr">
        <is>
          <t>Integrar resultado bilateral e lembrete semanal na iteração pré-lançamento</t>
        </is>
      </c>
      <c r="E144" s="0" t="inlineStr">
        <is>
          <t>Jornada bilateral e lembrete validados</t>
        </is>
      </c>
      <c r="F144" s="0" t="inlineStr">
        <is>
          <t>Crítica</t>
        </is>
      </c>
      <c r="G144" s="0" t="inlineStr">
        <is>
          <t>56,58,69,72,77,90,119</t>
        </is>
      </c>
      <c r="H144" s="0" t="inlineStr">
        <is>
          <t>Liderança Técnica</t>
        </is>
      </c>
      <c r="I144" s="0" t="inlineStr">
        <is>
          <t>Não iniciado</t>
        </is>
      </c>
      <c r="J144" s="0">
        <v>24</v>
      </c>
      <c r="K144" s="0" t="inlineStr">
        <is>
          <t/>
        </is>
      </c>
      <c r="L144" s="0" t="inlineStr">
        <is>
          <t/>
        </is>
      </c>
      <c r="M144" s="3">
        <v>0</v>
      </c>
      <c r="N144" s="0" t="inlineStr">
        <is>
          <t>Executar depois do primeiro piloto e antes da UAT - integrar duas conclusões compatíveis compartilhamento revogável forças complementaridades oportunidades sugestões aprovadas e lembrete semanal opt-in - testar autorização desvinculação privacidade push neutro acessibilidade e cancelamento - gate obrigatório das tarefas 96 a 98 e do lançamento</t>
        </is>
      </c>
    </row>
    <row r="145">
      <c r="A145" s="0">
        <v>144</v>
      </c>
      <c r="B145" s="0" t="inlineStr">
        <is>
          <t>Frontend</t>
        </is>
      </c>
      <c r="C145" s="0" t="inlineStr">
        <is>
          <t>Casal</t>
        </is>
      </c>
      <c r="D145" s="0" t="inlineStr">
        <is>
          <t>Implementar Correio do Amor entre contas pareadas</t>
        </is>
      </c>
      <c r="E145" s="0" t="inlineStr">
        <is>
          <t>Envio e histórico de recados do casal</t>
        </is>
      </c>
      <c r="F145" s="0" t="inlineStr">
        <is>
          <t>Alta</t>
        </is>
      </c>
      <c r="G145" s="0" t="inlineStr">
        <is>
          <t>27,49,63</t>
        </is>
      </c>
      <c r="H145" s="0" t="inlineStr">
        <is>
          <t>Engenharia Frontend e Backend</t>
        </is>
      </c>
      <c r="I145" s="0" t="inlineStr">
        <is>
          <t>Em andamento</t>
        </is>
      </c>
      <c r="J145" s="0">
        <v>16</v>
      </c>
      <c r="K145" s="0" t="inlineStr">
        <is>
          <t>23/09/2026</t>
        </is>
      </c>
      <c r="L145" s="0" t="inlineStr">
        <is>
          <t/>
        </is>
      </c>
      <c r="M145" s="3">
        <v>0.5</v>
      </c>
      <c r="N145" s="0" t="inlineStr">
        <is>
          <t>Primeira fatia implementada na aba Nós e em /wireframes/correio com composição de até 280 caracteres histórico responsivo persistência no armazenamento da API autorização restrita ao casal e teste automatizado de envio e leitura pela conta parceira - visual aprovado pela Product Owner em 23/09/2026 - contrato parcial em docs/openapi-v1.json - persistência PostgreSQL definitiva permanece pendente</t>
        </is>
      </c>
    </row>
  </sheetData>
  <autoFilter ref="A1:N145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Concluído</t>
        </is>
      </c>
      <c r="E5" s="0" t="inlineStr">
        <is>
          <t>Feedback de cinco casais registrado e incorporado ao PRD escopo fluxos e backlog</t>
        </is>
      </c>
      <c r="F5" s="0" t="inlineStr">
        <is>
          <t>28/09/2026</t>
        </is>
      </c>
      <c r="G5" s="0" t="inlineStr">
        <is>
          <t>21/09/2026</t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143</v>
      </c>
      <c r="D10" s="0" t="inlineStr">
        <is>
          <t>Em andamento</t>
        </is>
      </c>
      <c r="E10" s="0" t="inlineStr">
        <is>
          <t>Núcleo do primeiro piloto validado e integração pré-lançamento 143 concluída com resultado bilateral e lembrete semanal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integração 143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