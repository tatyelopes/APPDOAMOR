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02/09/2026 23:20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Mestre'!A2:A108)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Mestre'!I2:I108,"Concluído")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Mestre'!I2:I108,"Em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Mestre'!I2:I108,"Não iniciado")</f>
        <v>0</v>
      </c>
      <c r="C7" s="0" t="inlineStr">
        <is>
          <t>fila restante</t>
        </is>
      </c>
    </row>
    <row r="8">
      <c r="A8" s="0" t="inlineStr">
        <is>
          <t>Progresso geral</t>
        </is>
      </c>
      <c r="B8" s="3">
        <f>AVERAGE('Plano Mestre'!M2:M108)</f>
        <v>0</v>
      </c>
      <c r="C8" s="0" t="inlineStr">
        <is>
          <t>baseado no status</t>
        </is>
      </c>
    </row>
    <row r="9">
      <c r="A9" s="0" t="inlineStr">
        <is>
          <t>Horas estimadas</t>
        </is>
      </c>
      <c r="B9" s="2">
        <f>SUM('Plano Mestre'!J2:J108)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Mestre'!B2:B108,"Descoberta")</f>
        <v>0</v>
      </c>
      <c r="C12" s="2">
        <f>COUNTIFS('Plano Mestre'!B2:B108,"Descoberta",'Plano Mestre'!I2:I108,"Concluído")</f>
        <v>0</v>
      </c>
    </row>
    <row r="13">
      <c r="A13" s="0" t="inlineStr">
        <is>
          <t>Planejamento</t>
        </is>
      </c>
      <c r="B13" s="2">
        <f>COUNTIF('Plano Mestre'!B2:B108,"Planejamento")</f>
        <v>0</v>
      </c>
      <c r="C13" s="2">
        <f>COUNTIFS('Plano Mestre'!B2:B108,"Planejamento",'Plano Mestre'!I2:I108,"Concluído")</f>
        <v>0</v>
      </c>
    </row>
    <row r="14">
      <c r="A14" s="0" t="inlineStr">
        <is>
          <t>Marca</t>
        </is>
      </c>
      <c r="B14" s="2">
        <f>COUNTIF('Plano Mestre'!B2:B108,"Marca")</f>
        <v>0</v>
      </c>
      <c r="C14" s="2">
        <f>COUNTIFS('Plano Mestre'!B2:B108,"Marca",'Plano Mestre'!I2:I108,"Concluído")</f>
        <v>0</v>
      </c>
    </row>
    <row r="15">
      <c r="A15" s="0" t="inlineStr">
        <is>
          <t>UX/UI</t>
        </is>
      </c>
      <c r="B15" s="2">
        <f>COUNTIF('Plano Mestre'!B2:B108,"UX/UI")</f>
        <v>0</v>
      </c>
      <c r="C15" s="2">
        <f>COUNTIFS('Plano Mestre'!B2:B108,"UX/UI",'Plano Mestre'!I2:I108,"Concluído")</f>
        <v>0</v>
      </c>
    </row>
    <row r="16">
      <c r="A16" s="0" t="inlineStr">
        <is>
          <t>Arquitetura</t>
        </is>
      </c>
      <c r="B16" s="2">
        <f>COUNTIF('Plano Mestre'!B2:B108,"Arquitetura")</f>
        <v>0</v>
      </c>
      <c r="C16" s="2">
        <f>COUNTIFS('Plano Mestre'!B2:B108,"Arquitetura",'Plano Mestre'!I2:I108,"Concluído")</f>
        <v>0</v>
      </c>
    </row>
    <row r="17">
      <c r="A17" s="0" t="inlineStr">
        <is>
          <t>Infraestrutura</t>
        </is>
      </c>
      <c r="B17" s="2">
        <f>COUNTIF('Plano Mestre'!B2:B108,"Infraestrutura")</f>
        <v>0</v>
      </c>
      <c r="C17" s="2">
        <f>COUNTIFS('Plano Mestre'!B2:B108,"Infraestrutura",'Plano Mestre'!I2:I108,"Concluído")</f>
        <v>0</v>
      </c>
    </row>
    <row r="18">
      <c r="A18" s="0" t="inlineStr">
        <is>
          <t>Backend</t>
        </is>
      </c>
      <c r="B18" s="2">
        <f>COUNTIF('Plano Mestre'!B2:B108,"Backend")</f>
        <v>0</v>
      </c>
      <c r="C18" s="2">
        <f>COUNTIFS('Plano Mestre'!B2:B108,"Backend",'Plano Mestre'!I2:I108,"Concluído")</f>
        <v>0</v>
      </c>
    </row>
    <row r="19">
      <c r="A19" s="0" t="inlineStr">
        <is>
          <t>Frontend</t>
        </is>
      </c>
      <c r="B19" s="2">
        <f>COUNTIF('Plano Mestre'!B2:B108,"Frontend")</f>
        <v>0</v>
      </c>
      <c r="C19" s="2">
        <f>COUNTIFS('Plano Mestre'!B2:B108,"Frontend",'Plano Mestre'!I2:I108,"Concluído")</f>
        <v>0</v>
      </c>
    </row>
    <row r="20">
      <c r="A20" s="0" t="inlineStr">
        <is>
          <t>Conteúdo</t>
        </is>
      </c>
      <c r="B20" s="2">
        <f>COUNTIF('Plano Mestre'!B2:B108,"Conteúdo")</f>
        <v>0</v>
      </c>
      <c r="C20" s="2">
        <f>COUNTIFS('Plano Mestre'!B2:B108,"Conteúdo",'Plano Mestre'!I2:I108,"Concluído")</f>
        <v>0</v>
      </c>
    </row>
    <row r="21">
      <c r="A21" s="0" t="inlineStr">
        <is>
          <t>Qualidade</t>
        </is>
      </c>
      <c r="B21" s="2">
        <f>COUNTIF('Plano Mestre'!B2:B108,"Qualidade")</f>
        <v>0</v>
      </c>
      <c r="C21" s="2">
        <f>COUNTIFS('Plano Mestre'!B2:B108,"Qualidade",'Plano Mestre'!I2:I108,"Concluído")</f>
        <v>0</v>
      </c>
    </row>
    <row r="22">
      <c r="A22" s="0" t="inlineStr">
        <is>
          <t>Jurídico</t>
        </is>
      </c>
      <c r="B22" s="2">
        <f>COUNTIF('Plano Mestre'!B2:B108,"Jurídico")</f>
        <v>0</v>
      </c>
      <c r="C22" s="2">
        <f>COUNTIFS('Plano Mestre'!B2:B108,"Jurídico",'Plano Mestre'!I2:I108,"Concluído")</f>
        <v>0</v>
      </c>
    </row>
    <row r="23">
      <c r="A23" s="0" t="inlineStr">
        <is>
          <t>Lançamento</t>
        </is>
      </c>
      <c r="B23" s="2">
        <f>COUNTIF('Plano Mestre'!B2:B108,"Lançamento")</f>
        <v>0</v>
      </c>
      <c r="C23" s="2">
        <f>COUNTIFS('Plano Mestre'!B2:B108,"Lançamento",'Plano Mestre'!I2:I108,"Concluído")</f>
        <v>0</v>
      </c>
    </row>
    <row r="24">
      <c r="A24" s="0" t="inlineStr">
        <is>
          <t>Pós-lançamento</t>
        </is>
      </c>
      <c r="B24" s="2">
        <f>COUNTIF('Plano Mestre'!B2:B108,"Pós-lançamento")</f>
        <v>0</v>
      </c>
      <c r="C24" s="2">
        <f>COUNTIFS('Plano Mestre'!B2:B108,"Pós-lançamento",'Plano Mestre'!I2:I108,"Concluído")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docs, pendentes recrutamento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Concluído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1</v>
      </c>
      <c r="N5" s="0" t="inlineStr">
        <is>
          <t>Pesquisa consolidada em docs/PESQUISA-CASAIS-BRASILEIROS.md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com fases marcos cadência caminho crítico e riscos em docs/CRONOGRAMA-MARCOS-E-CADENCIA.md e Word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Papéis autoridade matriz RACI e responsáveis das 107 tarefas consolidados em docs/RESPONSAVEIS-E-MATRIZ-RACI.md e Word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10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com trilhas de iniciador e convidado emoções fricções métricas blueprint exceções e oportunidades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Não iniciado</t>
        </is>
      </c>
      <c r="J21" s="0">
        <v>8</v>
      </c>
      <c r="K21" s="0" t="inlineStr">
        <is>
          <t/>
        </is>
      </c>
      <c r="L21" s="0" t="inlineStr">
        <is>
          <t/>
        </is>
      </c>
      <c r="M21" s="3">
        <v>0</v>
      </c>
      <c r="N21" s="0" t="inlineStr">
        <is>
          <t/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/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/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Não iniciado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</v>
      </c>
      <c r="N25" s="0" t="inlineStr">
        <is>
          <t/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Não iniciado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</v>
      </c>
      <c r="N26" s="0" t="inlineStr">
        <is>
          <t/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Não iniciado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</v>
      </c>
      <c r="N27" s="0" t="inlineStr">
        <is>
          <t/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Não iniciado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</v>
      </c>
      <c r="N28" s="0" t="inlineStr">
        <is>
          <t/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Não iniciado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</v>
      </c>
      <c r="N29" s="0" t="inlineStr">
        <is>
          <t/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Não iniciado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</v>
      </c>
      <c r="N30" s="0" t="inlineStr">
        <is>
          <t/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Não iniciado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</v>
      </c>
      <c r="N31" s="0" t="inlineStr">
        <is>
          <t/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/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Não iniciado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0</v>
      </c>
      <c r="N35" s="0" t="inlineStr">
        <is>
          <t/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</t>
        </is>
      </c>
      <c r="H36" s="0" t="inlineStr">
        <is>
          <t>Liderança Técnica</t>
        </is>
      </c>
      <c r="I36" s="0" t="inlineStr">
        <is>
          <t>Não iniciado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</v>
      </c>
      <c r="N36" s="0" t="inlineStr">
        <is>
          <t/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Não iniciado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0</v>
      </c>
      <c r="N37" s="0" t="inlineStr">
        <is>
          <t/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Não iniciado</t>
        </is>
      </c>
      <c r="J38" s="0">
        <v>12</v>
      </c>
      <c r="K38" s="0" t="inlineStr">
        <is>
          <t/>
        </is>
      </c>
      <c r="L38" s="0" t="inlineStr">
        <is>
          <t/>
        </is>
      </c>
      <c r="M38" s="3">
        <v>0</v>
      </c>
      <c r="N38" s="0" t="inlineStr">
        <is>
          <t/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Não iniciado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0</v>
      </c>
      <c r="N39" s="0" t="inlineStr">
        <is>
          <t/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Não iniciado</t>
        </is>
      </c>
      <c r="J40" s="0">
        <v>6</v>
      </c>
      <c r="K40" s="0" t="inlineStr">
        <is>
          <t/>
        </is>
      </c>
      <c r="L40" s="0" t="inlineStr">
        <is>
          <t/>
        </is>
      </c>
      <c r="M40" s="3">
        <v>0</v>
      </c>
      <c r="N40" s="0" t="inlineStr">
        <is>
          <t/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Não iniciado</t>
        </is>
      </c>
      <c r="J41" s="0">
        <v>10</v>
      </c>
      <c r="K41" s="0" t="inlineStr">
        <is>
          <t/>
        </is>
      </c>
      <c r="L41" s="0" t="inlineStr">
        <is>
          <t/>
        </is>
      </c>
      <c r="M41" s="3">
        <v>0</v>
      </c>
      <c r="N41" s="0" t="inlineStr">
        <is>
          <t/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Não iniciado</t>
        </is>
      </c>
      <c r="J42" s="0">
        <v>10</v>
      </c>
      <c r="K42" s="0" t="inlineStr">
        <is>
          <t/>
        </is>
      </c>
      <c r="L42" s="0" t="inlineStr">
        <is>
          <t/>
        </is>
      </c>
      <c r="M42" s="3">
        <v>0</v>
      </c>
      <c r="N42" s="0" t="inlineStr">
        <is>
          <t/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Não iniciado</t>
        </is>
      </c>
      <c r="J43" s="0">
        <v>6</v>
      </c>
      <c r="K43" s="0" t="inlineStr">
        <is>
          <t/>
        </is>
      </c>
      <c r="L43" s="0" t="inlineStr">
        <is>
          <t/>
        </is>
      </c>
      <c r="M43" s="3">
        <v>0</v>
      </c>
      <c r="N43" s="0" t="inlineStr">
        <is>
          <t/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Não iniciado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</v>
      </c>
      <c r="N44" s="0" t="inlineStr">
        <is>
          <t/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/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/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Média</t>
        </is>
      </c>
      <c r="G56" s="0" t="inlineStr">
        <is>
          <t>49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/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Baixa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/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Concluído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1</v>
      </c>
      <c r="N62" s="0" t="inlineStr">
        <is>
          <t/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Concluído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1</v>
      </c>
      <c r="N64" s="0" t="inlineStr">
        <is>
          <t/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/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/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17,60-72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/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52,56,57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/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/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/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/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/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/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/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/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/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/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/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/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/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</t>
        </is>
      </c>
      <c r="H107" s="0" t="inlineStr">
        <is>
          <t>Engenharia Backend</t>
        </is>
      </c>
      <c r="I107" s="0" t="inlineStr">
        <is>
          <t>Concluído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1</v>
      </c>
      <c r="N107" s="0" t="inlineStr">
        <is>
          <t>Eventos sem conteúdo íntimo e endpoint protegido implementados em server/src/analytics.js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Concluído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1</v>
      </c>
      <c r="N108" s="0" t="inlineStr">
        <is>
          <t>Painel de North Star aquisição ativação engajamento retenção monetização e segurança implementado</t>
        </is>
      </c>
    </row>
  </sheetData>
  <autoFilter ref="A1:N108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MC1</t>
        </is>
      </c>
      <c r="B2" s="0" t="inlineStr">
        <is>
          <t>Baseline aprovada</t>
        </is>
      </c>
      <c r="C2" s="0">
        <v>13</v>
      </c>
      <c r="D2" s="0" t="inlineStr">
        <is>
          <t>Em andamento</t>
        </is>
      </c>
      <c r="E2" s="0" t="inlineStr">
        <is>
          <t>PRD, escopo, MoSCoW, papéis e pesquisa aprovados</t>
        </is>
      </c>
      <c r="F2" s="0" t="inlineStr">
        <is>
          <t>18/09/2026</t>
        </is>
      </c>
      <c r="G2" s="0" t="inlineStr">
        <is>
          <t/>
        </is>
      </c>
    </row>
    <row r="3">
      <c r="A3" s="0" t="inlineStr">
        <is>
          <t>MC2</t>
        </is>
      </c>
      <c r="B3" s="0" t="inlineStr">
        <is>
          <t>Personas e oportunidades validadas</t>
        </is>
      </c>
      <c r="C3" s="0">
        <v>4</v>
      </c>
      <c r="D3" s="0" t="inlineStr">
        <is>
          <t>Em andamento</t>
        </is>
      </c>
      <c r="E3" s="0" t="inlineStr">
        <is>
          <t>24 entrevistas analisadas e personas revisadas</t>
        </is>
      </c>
      <c r="F3" s="0" t="inlineStr">
        <is>
          <t>02/10/2026</t>
        </is>
      </c>
      <c r="G3" s="0" t="inlineStr">
        <is>
          <t/>
        </is>
      </c>
    </row>
    <row r="4">
      <c r="A4" s="0" t="inlineStr">
        <is>
          <t>MC3</t>
        </is>
      </c>
      <c r="B4" s="0" t="inlineStr">
        <is>
          <t>Mecânicas e padrão editorial aprovados</t>
        </is>
      </c>
      <c r="C4" s="0">
        <v>31</v>
      </c>
      <c r="D4" s="0" t="inlineStr">
        <is>
          <t>Não iniciado</t>
        </is>
      </c>
      <c r="E4" s="0" t="inlineStr">
        <is>
          <t>Três protótipos testados e primeiro lote revisado</t>
        </is>
      </c>
      <c r="F4" s="0" t="inlineStr">
        <is>
          <t>16/10/2026</t>
        </is>
      </c>
      <c r="G4" s="0" t="inlineStr">
        <is>
          <t/>
        </is>
      </c>
    </row>
    <row r="5">
      <c r="A5" s="0" t="inlineStr">
        <is>
          <t>MC4</t>
        </is>
      </c>
      <c r="B5" s="0" t="inlineStr">
        <is>
          <t>Fundação técnica pronta</t>
        </is>
      </c>
      <c r="C5" s="0">
        <v>43</v>
      </c>
      <c r="D5" s="0" t="inlineStr">
        <is>
          <t>Em andamento</t>
        </is>
      </c>
      <c r="E5" s="0" t="inlineStr">
        <is>
          <t>PostgreSQL, ambientes, CI, backup e segurança-base</t>
        </is>
      </c>
      <c r="F5" s="0" t="inlineStr">
        <is>
          <t>23/10/2026</t>
        </is>
      </c>
      <c r="G5" s="0" t="inlineStr">
        <is>
          <t/>
        </is>
      </c>
    </row>
    <row r="6">
      <c r="A6" s="0" t="inlineStr">
        <is>
          <t>MC5</t>
        </is>
      </c>
      <c r="B6" s="0" t="inlineStr">
        <is>
          <t>MVP feature-complete</t>
        </is>
      </c>
      <c r="C6" s="0">
        <v>75</v>
      </c>
      <c r="D6" s="0" t="inlineStr">
        <is>
          <t>Em andamento</t>
        </is>
      </c>
      <c r="E6" s="0" t="inlineStr">
        <is>
          <t>Jornada completa em dois dispositivos e painel funcional</t>
        </is>
      </c>
      <c r="F6" s="0" t="inlineStr">
        <is>
          <t>20/11/2026</t>
        </is>
      </c>
      <c r="G6" s="0" t="inlineStr">
        <is>
          <t/>
        </is>
      </c>
    </row>
    <row r="7">
      <c r="A7" s="0" t="inlineStr">
        <is>
          <t>MC6</t>
        </is>
      </c>
      <c r="B7" s="0" t="inlineStr">
        <is>
          <t>Conteúdo do piloto aprovado</t>
        </is>
      </c>
      <c r="C7" s="0">
        <v>77</v>
      </c>
      <c r="D7" s="0" t="inlineStr">
        <is>
          <t>Não iniciado</t>
        </is>
      </c>
      <c r="E7" s="0" t="inlineStr">
        <is>
          <t>60 atividades com rastreabilidade, teste e revisão</t>
        </is>
      </c>
      <c r="F7" s="0" t="inlineStr">
        <is>
          <t>27/11/2026</t>
        </is>
      </c>
      <c r="G7" s="0" t="inlineStr">
        <is>
          <t/>
        </is>
      </c>
    </row>
    <row r="8">
      <c r="A8" s="0" t="inlineStr">
        <is>
          <t>MC7</t>
        </is>
      </c>
      <c r="B8" s="0" t="inlineStr">
        <is>
          <t>Release candidate</t>
        </is>
      </c>
      <c r="C8" s="0">
        <v>96</v>
      </c>
      <c r="D8" s="0" t="inlineStr">
        <is>
          <t>Não iniciado</t>
        </is>
      </c>
      <c r="E8" s="0" t="inlineStr">
        <is>
          <t>QA, segurança, acessibilidade, LGPD e UAT sem bloqueador</t>
        </is>
      </c>
      <c r="F8" s="0" t="inlineStr">
        <is>
          <t>18/12/2026</t>
        </is>
      </c>
      <c r="G8" s="0" t="inlineStr">
        <is>
          <t/>
        </is>
      </c>
    </row>
    <row r="9">
      <c r="A9" s="0" t="inlineStr">
        <is>
          <t>MC8</t>
        </is>
      </c>
      <c r="B9" s="0" t="inlineStr">
        <is>
          <t>Go/no-go do piloto</t>
        </is>
      </c>
      <c r="C9" s="0">
        <v>98</v>
      </c>
      <c r="D9" s="0" t="inlineStr">
        <is>
          <t>Não iniciado</t>
        </is>
      </c>
      <c r="E9" s="0" t="inlineStr">
        <is>
          <t>Coorte, suporte, métricas e release confirmados</t>
        </is>
      </c>
      <c r="F9" s="0" t="inlineStr">
        <is>
          <t>08/01/2027</t>
        </is>
      </c>
      <c r="G9" s="0" t="inlineStr">
        <is>
          <t/>
        </is>
      </c>
    </row>
    <row r="10">
      <c r="A10" s="0" t="inlineStr">
        <is>
          <t>MC9</t>
        </is>
      </c>
      <c r="B10" s="0" t="inlineStr">
        <is>
          <t>Piloto concluído</t>
        </is>
      </c>
      <c r="C10" s="0">
        <v>102</v>
      </c>
      <c r="D10" s="0" t="inlineStr">
        <is>
          <t>Não iniciado</t>
        </is>
      </c>
      <c r="E10" s="0" t="inlineStr">
        <is>
          <t>Seis semanas de uso, dados íntegros e entrevistas agendadas</t>
        </is>
      </c>
      <c r="F10" s="0" t="inlineStr">
        <is>
          <t>19/02/2027</t>
        </is>
      </c>
      <c r="G10" s="0" t="inlineStr">
        <is>
          <t/>
        </is>
      </c>
    </row>
    <row r="11">
      <c r="A11" s="0" t="inlineStr">
        <is>
          <t>MC10</t>
        </is>
      </c>
      <c r="B11" s="0" t="inlineStr">
        <is>
          <t>Decisão do MVP comercial</t>
        </is>
      </c>
      <c r="C11" s="0">
        <v>103</v>
      </c>
      <c r="D11" s="0" t="inlineStr">
        <is>
          <t>Não iniciado</t>
        </is>
      </c>
      <c r="E11" s="0" t="inlineStr">
        <is>
          <t>Relatório do piloto e recomendação aprovados</t>
        </is>
      </c>
      <c r="F11" s="0" t="inlineStr">
        <is>
          <t>05/03/2027</t>
        </is>
      </c>
      <c r="G11" s="0" t="inlineStr">
        <is>
          <t/>
        </is>
      </c>
    </row>
  </sheetData>
  <autoFilter ref="A1:G11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Criptografia,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convite,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Revisão por especialista e avisos claros de caráter educativo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forte, expiração,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MVP,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Migrar para PostgreSQL antes da publicação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de dados, consentimento, exclusão e revisão jurídica</t>
        </is>
      </c>
      <c r="G8" s="0" t="inlineStr">
        <is>
          <t/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performance,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horas,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UAT,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</sheetData>
  <autoFilter ref="A1:H1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Descartar,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