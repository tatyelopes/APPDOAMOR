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tyele Lopes\Desktop\APP-do-amor\Plano de trabalho\"/>
    </mc:Choice>
  </mc:AlternateContent>
  <xr:revisionPtr revIDLastSave="0" documentId="11_0C44EC112AD62EB0BF8BAC43C0BD5B23F7C56566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<sst xmlns="http://schemas.openxmlformats.org/spreadsheetml/2006/main" count="1869" uniqueCount="738">
  <si>
    <t>PLANO DE ACOMPANHAMENTO — APP DO AMOR</t>
  </si>
  <si>
    <t/>
  </si>
  <si>
    <t>Atualizado em</t>
  </si>
  <si>
    <t>08/09/2026 00:24</t>
  </si>
  <si>
    <t>Indicador</t>
  </si>
  <si>
    <t>Valor</t>
  </si>
  <si>
    <t>Leitura</t>
  </si>
  <si>
    <t>Total de tarefas</t>
  </si>
  <si>
    <t>escopo completo</t>
  </si>
  <si>
    <t>Tarefas concluídas</t>
  </si>
  <si>
    <t>entregas finalizadas</t>
  </si>
  <si>
    <t>Em andamento</t>
  </si>
  <si>
    <t>trabalho ativo</t>
  </si>
  <si>
    <t>Não iniciadas</t>
  </si>
  <si>
    <t>fila restante</t>
  </si>
  <si>
    <t>Progresso por status</t>
  </si>
  <si>
    <t>não mede prontidão do produto</t>
  </si>
  <si>
    <t>Horas estimadas</t>
  </si>
  <si>
    <t>esforço total</t>
  </si>
  <si>
    <t>FASES</t>
  </si>
  <si>
    <t>Tarefas</t>
  </si>
  <si>
    <t>Concluídas</t>
  </si>
  <si>
    <t>Descoberta</t>
  </si>
  <si>
    <t>Planejamento</t>
  </si>
  <si>
    <t>Marca</t>
  </si>
  <si>
    <t>UX/UI</t>
  </si>
  <si>
    <t>Arquitetura</t>
  </si>
  <si>
    <t>Infraestrutura</t>
  </si>
  <si>
    <t>Backend</t>
  </si>
  <si>
    <t>Frontend</t>
  </si>
  <si>
    <t>Conteúdo</t>
  </si>
  <si>
    <t>Qualidade</t>
  </si>
  <si>
    <t>Jurídico</t>
  </si>
  <si>
    <t>Lançamento</t>
  </si>
  <si>
    <t>Pós-lançamento</t>
  </si>
  <si>
    <t>ID</t>
  </si>
  <si>
    <t>Fase</t>
  </si>
  <si>
    <t>Área</t>
  </si>
  <si>
    <t>Tarefa</t>
  </si>
  <si>
    <t>Entregável</t>
  </si>
  <si>
    <t>Prioridade</t>
  </si>
  <si>
    <t>Dependência</t>
  </si>
  <si>
    <t>Responsável</t>
  </si>
  <si>
    <t>Status</t>
  </si>
  <si>
    <t>Estimativa (h)</t>
  </si>
  <si>
    <t>Início planejado</t>
  </si>
  <si>
    <t>Fim planejado</t>
  </si>
  <si>
    <t>% concluído</t>
  </si>
  <si>
    <t>Observações</t>
  </si>
  <si>
    <t>Produto</t>
  </si>
  <si>
    <t>Definir visão e proposta de valor</t>
  </si>
  <si>
    <t>Documento de visão</t>
  </si>
  <si>
    <t>Crítica</t>
  </si>
  <si>
    <t>Product Owner</t>
  </si>
  <si>
    <t>Concluído</t>
  </si>
  <si>
    <t>Visão revisada com foco em conexão descoberta intimidade diversão e fortalecimento do relacionamento em docs/VISAO-E-PROPOSTA-DE-VALOR.md</t>
  </si>
  <si>
    <t>Definir público-alvo e personas</t>
  </si>
  <si>
    <t>Personas validadas</t>
  </si>
  <si>
    <t>Alta</t>
  </si>
  <si>
    <t>1</t>
  </si>
  <si>
    <t>Público e personas provisórias definidos em docs/PUBLICO-ALVO-E-PERSONAS.md, validação depende das entrevistas da tarefa 3</t>
  </si>
  <si>
    <t>Pesquisa</t>
  </si>
  <si>
    <t>Entrevistar casais do público-alvo</t>
  </si>
  <si>
    <t>Relatório de entrevistas</t>
  </si>
  <si>
    <t>2</t>
  </si>
  <si>
    <t>Pesquisa e Conteúdo</t>
  </si>
  <si>
    <t>Protocolo e ficha disponíveis em Markdown e Word na pasta docs, pendentes recrutamento campo e síntese</t>
  </si>
  <si>
    <t>Mapear dores necessidades e hábitos</t>
  </si>
  <si>
    <t>Mapa de oportunidades</t>
  </si>
  <si>
    <t>3</t>
  </si>
  <si>
    <t>Pesquisa secundária consolidada em docs/PESQUISA-CASAIS-BRASILEIROS.md - síntese das entrevistas e validação das oportunidades dependem da tarefa 3</t>
  </si>
  <si>
    <t>Mercado</t>
  </si>
  <si>
    <t>Analisar concorrentes diretos e indiretos</t>
  </si>
  <si>
    <t>Análise competitiva</t>
  </si>
  <si>
    <t>Média</t>
  </si>
  <si>
    <t>Mapeamento consolidado em docs/ANALISE-CONCORRENTES.md com benchmark incluindo Lovify posicionamento e oportunidades</t>
  </si>
  <si>
    <t>Negócio</t>
  </si>
  <si>
    <t>Definir modelo de negócio e monetização</t>
  </si>
  <si>
    <t>Modelo de receita</t>
  </si>
  <si>
    <t>4,5</t>
  </si>
  <si>
    <t>Freemium B2C e assinatura por casal definidos em docs/MODELO-DE-NEGOCIO-E-MONETIZACAO.md com preços unit economics e experimentos</t>
  </si>
  <si>
    <t>Definir métricas de sucesso e North Star</t>
  </si>
  <si>
    <t>Árvore de métricas</t>
  </si>
  <si>
    <t>North Star árvore de métricas metas e governança documentadas em docs/METRICAS-DE-SUCESSO.md</t>
  </si>
  <si>
    <t>Consolidar PRD do produto</t>
  </si>
  <si>
    <t>PRD aprovado</t>
  </si>
  <si>
    <t>2,4,6,7</t>
  </si>
  <si>
    <t>PRD v0.9 consolidado em Markdown e Word, pendente validação das personas priorização final e aprovação</t>
  </si>
  <si>
    <t>Priorizar funcionalidades pelo método MoSCoW</t>
  </si>
  <si>
    <t>Escopo priorizado</t>
  </si>
  <si>
    <t>8</t>
  </si>
  <si>
    <t>Priorização da Release 1.0 consolidada em docs/PRIORIZACAO-MOSCOW.md e Word com Must Should Could Won't critérios e cortes</t>
  </si>
  <si>
    <t>Definir escopo do MVP</t>
  </si>
  <si>
    <t>Backlog do MVP</t>
  </si>
  <si>
    <t>9</t>
  </si>
  <si>
    <t>MVP piloto PWA de 6 semanas com 40 a 60 casais, três mecânicas e backlog de 38 itens consolidado em docs/ESCOPO-MVP.md e Word</t>
  </si>
  <si>
    <t>Gestão</t>
  </si>
  <si>
    <t>Definir cronograma marcos e cadência</t>
  </si>
  <si>
    <t>Roadmap de execução</t>
  </si>
  <si>
    <t>10</t>
  </si>
  <si>
    <t>07/09/2026</t>
  </si>
  <si>
    <t>05/03/2027</t>
  </si>
  <si>
    <t>Linha de base em docs/CRONOGRAMA-MARCOS-E-CADENCIA.md e Word - revisão identificou datas por tarefa e capacidade nominal pendentes de replanejamento com a baseline 112 - datas dos marcos permanecem premissas</t>
  </si>
  <si>
    <t>Definir responsáveis e matriz RACI</t>
  </si>
  <si>
    <t>Matriz RACI</t>
  </si>
  <si>
    <t>11</t>
  </si>
  <si>
    <t>Product Owner — Tatyele Lopes</t>
  </si>
  <si>
    <t>Estrutura de papéis e RACI documentadas - papéis padrão aplicados às tarefas atuais pelo gerador - nomes técnicos e capacidade ainda a confirmar - documento e Word têm recorte histórico das 107 tarefas iniciais</t>
  </si>
  <si>
    <t>Configurar gestão de backlog e cerimônias</t>
  </si>
  <si>
    <t>Quadro operacional</t>
  </si>
  <si>
    <t>11,12</t>
  </si>
  <si>
    <t>Kanban com ciclos quinzenais fluxo WIP DoR DoD RICE cerimônias e métricas configurados em docs/GESTAO-DE-BACKLOG-E-CERIMONIAS.md e na aba Governança Backlog</t>
  </si>
  <si>
    <t>Branding</t>
  </si>
  <si>
    <t>Validar nome Conectadois e alternativas</t>
  </si>
  <si>
    <t>Decisão de naming</t>
  </si>
  <si>
    <t>Product Designer</t>
  </si>
  <si>
    <t>Não iniciado</t>
  </si>
  <si>
    <t>Pesquisar disponibilidade no INPI</t>
  </si>
  <si>
    <t>Parecer preliminar</t>
  </si>
  <si>
    <t>14</t>
  </si>
  <si>
    <t>Privacidade/Jurídico</t>
  </si>
  <si>
    <t>Registrar domínio e perfis sociais</t>
  </si>
  <si>
    <t>Ativos digitais reservados</t>
  </si>
  <si>
    <t>Definir posicionamento tom de voz e slogan</t>
  </si>
  <si>
    <t>Guia verbal</t>
  </si>
  <si>
    <t>Posicionamento plataforma de mensagens tom de voz vocabulário aplicações e sistema de slogans consolidados em docs/POSICIONAMENTO-TOM-DE-VOZ-E-SLOGAN.md e Word —  validar com casais e revisar se o naming mudar</t>
  </si>
  <si>
    <t>Design</t>
  </si>
  <si>
    <t>Consolidar logotipo paleta e tipografia</t>
  </si>
  <si>
    <t>Identidade visual</t>
  </si>
  <si>
    <t>14,17</t>
  </si>
  <si>
    <t>Identidade revisada conforme decisão da fundadora: símbolo 3D original da pasta Identidade visual restaurado no app e wordmark conectadois com dois em dourado —  guia Word e preview horizontal atualizados</t>
  </si>
  <si>
    <t>Mapear jornada completa do casal</t>
  </si>
  <si>
    <t>Mapa de jornada e fluxograma visual</t>
  </si>
  <si>
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</si>
  <si>
    <t>Criar arquitetura de informação</t>
  </si>
  <si>
    <t>Mapa de navegação</t>
  </si>
  <si>
    <t>19</t>
  </si>
  <si>
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</si>
  <si>
    <t>UX</t>
  </si>
  <si>
    <t>Desenhar fluxo de onboarding</t>
  </si>
  <si>
    <t>Fluxo validado</t>
  </si>
  <si>
    <t>20</t>
  </si>
  <si>
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</si>
  <si>
    <t>Desenhar cadastro login e recuperação</t>
  </si>
  <si>
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</si>
  <si>
    <t>Desenhar pareamento e convite do casal</t>
  </si>
  <si>
    <t>Desenhar home e rotina diária</t>
  </si>
  <si>
    <t>Desenho em docs/HOME-E-ROTINA-DIARIA.md e protótipo navegável em docs/prototipo-home-rotina.html - 13 estados da home e rotina com perguntas desafios e modo misto - pendentes revisão visual e validação com casais na tarefa 30</t>
  </si>
  <si>
    <t>Desenhar perguntas e revelação mútua</t>
  </si>
  <si>
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</si>
  <si>
    <t>Desenhar testes e resultados</t>
  </si>
  <si>
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</si>
  <si>
    <t>Criar wireframes mobile-first</t>
  </si>
  <si>
    <t>Wireframes completos</t>
  </si>
  <si>
    <t>21-26</t>
  </si>
  <si>
    <t>Home rotina diária perguntas com revelação e testes com resultados desenhados em protótipos HTML responsivos na pasta docs - demais telas e validação visual completa pendentes</t>
  </si>
  <si>
    <t>Criar design system e tokens</t>
  </si>
  <si>
    <t>Biblioteca visual</t>
  </si>
  <si>
    <t>18,27</t>
  </si>
  <si>
    <t>Tokens em src/assets/brand/brand-tokens.css e guia docs/IDENTIDADE-VISUAL.md existentes - biblioteca de componentes estados acessibilidade e validação visual pendentes</t>
  </si>
  <si>
    <t>Produzir protótipo de alta fidelidade</t>
  </si>
  <si>
    <t>Protótipo navegável</t>
  </si>
  <si>
    <t>27,28</t>
  </si>
  <si>
    <t>Protótipos locais da home perguntas e revelação mútua e testes com resultados em docs - inclui perspectivas simuladas rede pausa revisão e compartilhamento opcional de resumo - integração das demais jornadas revisão visual e testes com casais pendentes</t>
  </si>
  <si>
    <t>Executar teste de usabilidade</t>
  </si>
  <si>
    <t>Relatório de usabilidade</t>
  </si>
  <si>
    <t>29</t>
  </si>
  <si>
    <t>Rodada 0 especializada executada em 05/09/2026 com sete jornadas bilaterais e doze estados responsivos - relatório em docs/TESTE-DE-USABILIDADE-2026-09-05.md - nove achados registrados - validação moderada com casais e métricas humanas ainda pendentes</t>
  </si>
  <si>
    <t>Aplicar melhorias do teste</t>
  </si>
  <si>
    <t>Protótipo aprovado</t>
  </si>
  <si>
    <t>30</t>
  </si>
  <si>
    <t>Correções dos achados UT-01 a UT-09 da rodada 0 pendentes - priorizar entrada em login feedback de falhas integridade do progresso retomada dos testes e alvos de toque antes da rodada com participantes</t>
  </si>
  <si>
    <t>Engenharia</t>
  </si>
  <si>
    <t>Definir arquitetura frontend e backend</t>
  </si>
  <si>
    <t>Documento de arquitetura</t>
  </si>
  <si>
    <t>Liderança Técnica</t>
  </si>
  <si>
    <t>Definir padrão de pastas e dependências</t>
  </si>
  <si>
    <t>Convenções documentadas</t>
  </si>
  <si>
    <t>32</t>
  </si>
  <si>
    <t>Dados</t>
  </si>
  <si>
    <t>Modelar usuários casais sessões respostas e progresso</t>
  </si>
  <si>
    <t>Modelo de dados</t>
  </si>
  <si>
    <t>Engenharia Backend</t>
  </si>
  <si>
    <t>Modelo lógico em docs/MODELO-DE-DADOS.md e docs/modelo-de-dados.dbml com 10 entidades e 12 relacionamentos - autenticação partidas respostas desafios e progresso - regras de integridade privacidade e migração documentadas</t>
  </si>
  <si>
    <t>API</t>
  </si>
  <si>
    <t>Definir contrato e versionamento da API</t>
  </si>
  <si>
    <t>Especificação OpenAPI</t>
  </si>
  <si>
    <t>34,112</t>
  </si>
  <si>
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</si>
  <si>
    <t>Segurança</t>
  </si>
  <si>
    <t>Realizar modelagem de ameaças</t>
  </si>
  <si>
    <t>Threat model</t>
  </si>
  <si>
    <t>34,35</t>
  </si>
  <si>
    <t>Baseline STRIDE e OWASP em docs/MODELAGEM-DE-AMEACAS.md com diagrama ativos fronteiras 22 ameaças 29 controles 20 testes gates de piloto e riscos residuais - 13 ameaças críticas 8 altas e 1 média - estado atual não apto para piloto externo - revalidar após tarefas 112-114 PostgreSQL provedores e antes da release candidate</t>
  </si>
  <si>
    <t>Privacidade</t>
  </si>
  <si>
    <t>Mapear dados pessoais e base legal LGPD</t>
  </si>
  <si>
    <t>Inventário de dados</t>
  </si>
  <si>
    <t>34</t>
  </si>
  <si>
    <t>05/09/2026</t>
  </si>
  <si>
    <t>Inventário v1 em docs/INVENTARIO-DE-DADOS-E-BASES-LEGAIS-LGPD.md - 17 grupos e 20 operações com finalidade necessidade bases dos artigos 7 e 11 acesso compartilhamento retenção direitos incidentes e gates - enquadramento sujeito a aprovação jurídica</t>
  </si>
  <si>
    <t>DevOps</t>
  </si>
  <si>
    <t>Definir ambientes local homologação produção</t>
  </si>
  <si>
    <t>Estratégia de ambientes</t>
  </si>
  <si>
    <t>DevOps/Plataforma</t>
  </si>
  <si>
    <t>Estratégia em docs/AMBIENTES.md com matriz local staging production isolamento configuração atual e futura promoção recuperação e gates - modelo .env.local.example e regras Git - definição concluída em 08/09/2026 sem provisionamento ou deploy remoto</t>
  </si>
  <si>
    <t>Configurar lint formatação e hooks</t>
  </si>
  <si>
    <t>Qualidade automatizada</t>
  </si>
  <si>
    <t>33</t>
  </si>
  <si>
    <t>Configurar pipeline de CI</t>
  </si>
  <si>
    <t>Pipeline funcional</t>
  </si>
  <si>
    <t>39</t>
  </si>
  <si>
    <t>Provisionar banco PostgreSQL</t>
  </si>
  <si>
    <t>Banco por ambiente</t>
  </si>
  <si>
    <t>34,38</t>
  </si>
  <si>
    <t>Provisionar PostgreSQL local staging e production com identidades distintas mesma versão principal e migrações conforme docs/AMBIENTES.md - implementar DATABASE_URL validar conexão integridade e concorrência - JSON atual sem transações fica restrito ao protótipo local</t>
  </si>
  <si>
    <t>Configurar gestão segura de segredos</t>
  </si>
  <si>
    <t>Cofre de segredos</t>
  </si>
  <si>
    <t>38</t>
  </si>
  <si>
    <t>Cofre identidades e chaves exclusivos por ambiente conforme docs/AMBIENTES.md - injeção em runtime privilégio mínimo inventário rotação e auditoria - modelos e gitignore não substituem esses controles</t>
  </si>
  <si>
    <t>Observabilidade</t>
  </si>
  <si>
    <t>Configurar logs métricas e alertas</t>
  </si>
  <si>
    <t>Observabilidade básica</t>
  </si>
  <si>
    <t>Separar logs métricas e alertas por ambiente e versão conforme docs/AMBIENTES.md - implementar sondas de saúde e prontidão sem dados privados - testar alertas de indisponibilidade erros banco backup e capacidade sem conteúdo íntimo ou segredos</t>
  </si>
  <si>
    <t>Autenticação</t>
  </si>
  <si>
    <t>Implementar cadastro de usuário</t>
  </si>
  <si>
    <t>Endpoint testado</t>
  </si>
  <si>
    <t>Implementar login logout e sessões</t>
  </si>
  <si>
    <t>Endpoints testados</t>
  </si>
  <si>
    <t>44</t>
  </si>
  <si>
    <t>Implementar recuperação e troca de senha</t>
  </si>
  <si>
    <t>Fluxo seguro</t>
  </si>
  <si>
    <t>45</t>
  </si>
  <si>
    <t>Implementar verificação de e-mail</t>
  </si>
  <si>
    <t>Fluxo de confirmação</t>
  </si>
  <si>
    <t>Casal</t>
  </si>
  <si>
    <t>Implementar criação de casal e código</t>
  </si>
  <si>
    <t>Implementar entrada e validação de convite</t>
  </si>
  <si>
    <t>48</t>
  </si>
  <si>
    <t>Implementar desfazer vínculo com segurança</t>
  </si>
  <si>
    <t>Endpoint auditável</t>
  </si>
  <si>
    <t>49</t>
  </si>
  <si>
    <t>Perfil</t>
  </si>
  <si>
    <t>Implementar perfil e preferências</t>
  </si>
  <si>
    <t>Modelar e servir perguntas e categorias</t>
  </si>
  <si>
    <t>API de conteúdo</t>
  </si>
  <si>
    <t>35,41,115</t>
  </si>
  <si>
    <t>Catálogo versionado deve servir apenas conteúdo aprovado e publicado com tema nível duração e formato - permitir retirada sem nova versão do app - integrar fonte editorial 115</t>
  </si>
  <si>
    <t>Respostas</t>
  </si>
  <si>
    <t>Implementar respostas privadas</t>
  </si>
  <si>
    <t>API testada</t>
  </si>
  <si>
    <t>49,52,111</t>
  </si>
  <si>
    <t>Endpoint da pergunta fixa existe - generalizar para partida rodada e autoria por conta com idempotência e correção apenas antes da revelação</t>
  </si>
  <si>
    <t>Garantir revelação somente após ambos responderem</t>
  </si>
  <si>
    <t>Regra testada</t>
  </si>
  <si>
    <t>53</t>
  </si>
  <si>
    <t>Progresso</t>
  </si>
  <si>
    <t>Implementar streak histórico e conquistas</t>
  </si>
  <si>
    <t>API de progresso</t>
  </si>
  <si>
    <t>54,111</t>
  </si>
  <si>
    <t>Derivar progresso de participação mútua confirmada - substituir contador local inicializado em 3 e incrementado por cliques - releitura e pulo não contam</t>
  </si>
  <si>
    <t>Testes</t>
  </si>
  <si>
    <t>Implementar linguagens do amor e resultado</t>
  </si>
  <si>
    <t>Serviço de avaliação</t>
  </si>
  <si>
    <t>Implementar temperamentos e resultado</t>
  </si>
  <si>
    <t>Notificações</t>
  </si>
  <si>
    <t>Implementar preferências e notificações</t>
  </si>
  <si>
    <t>Serviço de notificações</t>
  </si>
  <si>
    <t>Admin</t>
  </si>
  <si>
    <t>Criar gestão segura de conteúdo</t>
  </si>
  <si>
    <t>Painel ou API administrativa</t>
  </si>
  <si>
    <t>52</t>
  </si>
  <si>
    <t>Operação mínima de revisão publicação e retirada com autorização e auditoria - CMS completo não é exigido antes do piloto se existir alternativa segura nas tarefas 52 e 115</t>
  </si>
  <si>
    <t>Base</t>
  </si>
  <si>
    <t>Implementar bootstrap tema e navegação</t>
  </si>
  <si>
    <t>Base da aplicação</t>
  </si>
  <si>
    <t>28,32</t>
  </si>
  <si>
    <t>Engenharia Frontend</t>
  </si>
  <si>
    <t>Onboarding</t>
  </si>
  <si>
    <t>Implementar onboarding responsivo</t>
  </si>
  <si>
    <t>Tela funcional</t>
  </si>
  <si>
    <t>21,28</t>
  </si>
  <si>
    <t>Três telas implementadas - reaberto na revisão: Já tenho uma conta usa conclusão genérica e abre cadastro - faltam pular e validação do fluxo documentado</t>
  </si>
  <si>
    <t>Implementar cadastro e login</t>
  </si>
  <si>
    <t>Telas integradas</t>
  </si>
  <si>
    <t>22,44,45</t>
  </si>
  <si>
    <t>Implementar criação entrada e espera do pareamento</t>
  </si>
  <si>
    <t>Fluxo integrado</t>
  </si>
  <si>
    <t>23,48,49</t>
  </si>
  <si>
    <t>Criação entrada e espera implementadas - reaberto na revisão: erro de atualização sem mensagem e cópia pode informar sucesso sem clipboard - integração e validação completas pendentes</t>
  </si>
  <si>
    <t>Implementar perfil conta e preferências</t>
  </si>
  <si>
    <t>Tela integrada</t>
  </si>
  <si>
    <t>51</t>
  </si>
  <si>
    <t>Home</t>
  </si>
  <si>
    <t>Implementar home personalizada</t>
  </si>
  <si>
    <t>24,55,116</t>
  </si>
  <si>
    <t>Home atual parcial - integrar estados em docs/HOME-E-ROTINA-DIARIA.md com pendências reais e progresso confirmado sem valores demonstrativos</t>
  </si>
  <si>
    <t>Perguntas</t>
  </si>
  <si>
    <t>Implementar perguntas por nível</t>
  </si>
  <si>
    <t>Experiência integrada</t>
  </si>
  <si>
    <t>25,52,116</t>
  </si>
  <si>
    <t>Jogo local por temas implementado em 109 - níveis leve médio profundo e catálogo remoto ainda pendentes - harmonizar formato e mecânica na tarefa 112</t>
  </si>
  <si>
    <t>Implementar resposta privada e espera</t>
  </si>
  <si>
    <t>53,54</t>
  </si>
  <si>
    <t>Implementar tela de revelação mútua</t>
  </si>
  <si>
    <t>54,67</t>
  </si>
  <si>
    <t>Implementar teste de linguagens do amor</t>
  </si>
  <si>
    <t>26,56</t>
  </si>
  <si>
    <t>Implementar teste de temperamentos</t>
  </si>
  <si>
    <t>26,57</t>
  </si>
  <si>
    <t>55,65</t>
  </si>
  <si>
    <t>Implementar central e preferências</t>
  </si>
  <si>
    <t>58</t>
  </si>
  <si>
    <t>Estados</t>
  </si>
  <si>
    <t>Implementar loading vazio erro e offline</t>
  </si>
  <si>
    <t>Estados consistentes</t>
  </si>
  <si>
    <t>60-72</t>
  </si>
  <si>
    <t>Acessibilidade</t>
  </si>
  <si>
    <t>Aplicar WCAG foco teclado contraste e leitores</t>
  </si>
  <si>
    <t>Auditoria aprovada</t>
  </si>
  <si>
    <t>60-73</t>
  </si>
  <si>
    <t>Responsividade</t>
  </si>
  <si>
    <t>Validar celulares tablets e desktop</t>
  </si>
  <si>
    <t>Matriz responsiva</t>
  </si>
  <si>
    <t>60-74</t>
  </si>
  <si>
    <t>Editorial</t>
  </si>
  <si>
    <t>Revisar textos linguagem inclusiva e tom</t>
  </si>
  <si>
    <t>Conteúdo aprovado</t>
  </si>
  <si>
    <t>17,108,110</t>
  </si>
  <si>
    <t>Revisão editorial pode começar pelos lotes candidatos antes de concluir frontend - incluir textos de interface à medida que forem implementados</t>
  </si>
  <si>
    <t>Especialista</t>
  </si>
  <si>
    <t>Validar perguntas e recomendações com especialista</t>
  </si>
  <si>
    <t>Parecer de conteúdo</t>
  </si>
  <si>
    <t>108,110,115</t>
  </si>
  <si>
    <t>Validar lotes e recomendações antes de publicação - distinguir conteúdo candidato de aprovado e seleção mínima de 60 atividades - conteúdo íntimo restrito conforme baseline do piloto</t>
  </si>
  <si>
    <t>Definir estratégia e critérios de aceite</t>
  </si>
  <si>
    <t>Plano de testes</t>
  </si>
  <si>
    <t>10,35</t>
  </si>
  <si>
    <t>Criar testes unitários dos serviços</t>
  </si>
  <si>
    <t>Suíte automatizada</t>
  </si>
  <si>
    <t>44-59,78</t>
  </si>
  <si>
    <t>Incluir regras de autenticação autoria duas participações idempotência transições de rodada e progresso - não há suíte versionada identificada nesta revisão</t>
  </si>
  <si>
    <t>Criar testes de componentes e hooks</t>
  </si>
  <si>
    <t>60-75,78</t>
  </si>
  <si>
    <t>Integração</t>
  </si>
  <si>
    <t>Criar testes de integração da API</t>
  </si>
  <si>
    <t>44-59,78,111</t>
  </si>
  <si>
    <t>Incluir escritas concorrentes falha de persistência retomada isolamento e reenvios - usar dados de teste sem tocar em contas reais</t>
  </si>
  <si>
    <t>E2E</t>
  </si>
  <si>
    <t>Automatizar cadastro pareamento e revelação</t>
  </si>
  <si>
    <t>Fluxos E2E</t>
  </si>
  <si>
    <t>61-70,78,116</t>
  </si>
  <si>
    <t>Dois contextos autenticados independentes - validar ida e volta da home retomada perguntas desafios pulo e revelação sem vazamento</t>
  </si>
  <si>
    <t>Executar análise de dependências e vulnerabilidades</t>
  </si>
  <si>
    <t>Relatório corrigido</t>
  </si>
  <si>
    <t>36,40</t>
  </si>
  <si>
    <t>Aplicar SEC-26 e ST-20 de docs/MODELAGEM-DE-AMEACAS.md - versões fixadas análise de dependências e segredos SBOM revisão de artefato e bloqueio de promoção com vulnerabilidade crítica explorável</t>
  </si>
  <si>
    <t>Testar autorização e isolamento entre casais</t>
  </si>
  <si>
    <t>49,53,54</t>
  </si>
  <si>
    <t>Executar casos ST-01 a ST-19 aplicáveis de docs/MODELAGEM-DE-AMEACAS.md com ênfase em BOLA BFLA convite sessão revelação corrida desvinculação logs admin e cache - nenhum vazamento S3 ou S4 e nenhuma ameaça crítica aberta antes do piloto</t>
  </si>
  <si>
    <t>Performance</t>
  </si>
  <si>
    <t>Medir Core Web Vitals e API</t>
  </si>
  <si>
    <t>Relatório de performance</t>
  </si>
  <si>
    <t>73,75</t>
  </si>
  <si>
    <t>Compatibilidade</t>
  </si>
  <si>
    <t>Testar navegadores e dispositivos reais</t>
  </si>
  <si>
    <t>Matriz aprovada</t>
  </si>
  <si>
    <t>75</t>
  </si>
  <si>
    <t>Executar QA exploratório completo</t>
  </si>
  <si>
    <t>Relatório de QA</t>
  </si>
  <si>
    <t>79-86</t>
  </si>
  <si>
    <t>Redigir política de privacidade</t>
  </si>
  <si>
    <t>Documento publicado</t>
  </si>
  <si>
    <t>37</t>
  </si>
  <si>
    <t>Usar operações OP-01 a OP-20 e decisões DEC-01 DEC-02 DEC-05 e DEC-08 do inventário LGPD - identificar controlador encarregado operadores transferências finalidades bases prazos direitos e limites da revelação ao parceiro</t>
  </si>
  <si>
    <t>Termos</t>
  </si>
  <si>
    <t>Redigir termos de uso</t>
  </si>
  <si>
    <t>6,37</t>
  </si>
  <si>
    <t>Implementar consentimentos e direitos LGPD</t>
  </si>
  <si>
    <t>Fluxos auditáveis</t>
  </si>
  <si>
    <t>37,88</t>
  </si>
  <si>
    <t>Implementar CS-01 a CS-05 e DEC-03 DEC-04 DEC-06 DEC-07 DEC-09 e DEC-10 do inventário LGPD - consentimento específico para conteúdo potencialmente sensível revogação exportação exclusão propagação e RIPD antes do piloto</t>
  </si>
  <si>
    <t>Operação</t>
  </si>
  <si>
    <t>Definir canal de suporte e exclusão de conta</t>
  </si>
  <si>
    <t>Processo operacional</t>
  </si>
  <si>
    <t>50,90</t>
  </si>
  <si>
    <t>Designar e publicar encarregado ou justificativa aplicável - operacionalizar OP-16 e OP-19 com verificação proporcional prazos RT-01 RT-05 RT-10 fila de operadores e separação de dados do parceiro</t>
  </si>
  <si>
    <t>Configurar domínio DNS HTTPS e produção</t>
  </si>
  <si>
    <t>Ambiente publicado</t>
  </si>
  <si>
    <t>16,38,42,123</t>
  </si>
  <si>
    <t>Provisionar produção conforme docs/AMBIENTES.md após homologação 123 - frontend e API na mesma origem entrada HTTPS banco privado recursos isolados e artefato validado - domínio provedor região e custo ainda pendentes</t>
  </si>
  <si>
    <t>Executar migrações e backup inicial</t>
  </si>
  <si>
    <t>Banco pronto</t>
  </si>
  <si>
    <t>41,92,118</t>
  </si>
  <si>
    <t>Migração com staging e conferência dos dados legados - backup inicial e restauração comprovada antes de declarar banco pronto</t>
  </si>
  <si>
    <t>Preparar landing page e materiais</t>
  </si>
  <si>
    <t>Página de lançamento</t>
  </si>
  <si>
    <t>17,18</t>
  </si>
  <si>
    <t>Growth e Operações</t>
  </si>
  <si>
    <t>Preparar FAQ suporte e incidentes</t>
  </si>
  <si>
    <t>Playbook operacional</t>
  </si>
  <si>
    <t>91</t>
  </si>
  <si>
    <t>Incluir DEC-11 do inventário LGPD - contato 24x7 avaliação de risco ou dano relevante registro de decisão e comunicação à ANPD e titulares em até 3 dias úteis quando aplicável</t>
  </si>
  <si>
    <t>Homologação</t>
  </si>
  <si>
    <t>Executar UAT com grupo piloto</t>
  </si>
  <si>
    <t>Aceite do produto</t>
  </si>
  <si>
    <t>87,90,92-95,77,116,117,119,121,122</t>
  </si>
  <si>
    <t>UAT do ciclo bilateral conforme baseline 112 - mecânicas 113 e 114 entram no aceite se mantidas para o piloto - reunir evidências de conteúdo privacidade fornecedores e operação</t>
  </si>
  <si>
    <t>Corrigir bloqueadores do piloto</t>
  </si>
  <si>
    <t>Release candidate</t>
  </si>
  <si>
    <t>96</t>
  </si>
  <si>
    <t>Realizar checklist go/no-go</t>
  </si>
  <si>
    <t>Decisão documentada</t>
  </si>
  <si>
    <t>97</t>
  </si>
  <si>
    <t>Publicar versão de produção</t>
  </si>
  <si>
    <t>Release 1.0</t>
  </si>
  <si>
    <t>98</t>
  </si>
  <si>
    <t>Monitorar erros segurança e disponibilidade</t>
  </si>
  <si>
    <t>Relatório da primeira semana</t>
  </si>
  <si>
    <t>99</t>
  </si>
  <si>
    <t>Analisar ativação retenção e pareamento</t>
  </si>
  <si>
    <t>Dashboard de métricas</t>
  </si>
  <si>
    <t>7,99</t>
  </si>
  <si>
    <t>Coletar feedback e entrevistas</t>
  </si>
  <si>
    <t>Relatório pós-lançamento</t>
  </si>
  <si>
    <t>Priorizar melhorias e roadmap V2</t>
  </si>
  <si>
    <t>Roadmap V2</t>
  </si>
  <si>
    <t>100-102</t>
  </si>
  <si>
    <t>Planejar escalabilidade e custos</t>
  </si>
  <si>
    <t>Plano de capacidade</t>
  </si>
  <si>
    <t>100,101</t>
  </si>
  <si>
    <t>Realizar retrospectiva do projeto</t>
  </si>
  <si>
    <t>Lições aprendidas</t>
  </si>
  <si>
    <t>100-103</t>
  </si>
  <si>
    <t>Analytics</t>
  </si>
  <si>
    <t>Instrumentar eventos e agregação de métricas</t>
  </si>
  <si>
    <t>API administrativa de métricas</t>
  </si>
  <si>
    <t>7,34,35,111</t>
  </si>
  <si>
    <t>Endpoint e agregações implementados - reaberto: eventos financeiros aceitos do cliente reativação não recupera pagantes retenção acumulada rotulada D7 e mode descartado - definir fontes confiáveis e testar métricas</t>
  </si>
  <si>
    <t>Administração</t>
  </si>
  <si>
    <t>Criar painel administrativo de métricas</t>
  </si>
  <si>
    <t>Dashboard administrativo</t>
  </si>
  <si>
    <t>106</t>
  </si>
  <si>
    <t>Painel implementado - reaberto para distinguir não instrumentado de zero e esclarecer coortes origem dos dados e limitações - aceite depende da correção e validação da tarefa 106</t>
  </si>
  <si>
    <t>Produzir banco inicial de perguntas de múltipla escolha</t>
  </si>
  <si>
    <t>Planilha editorial de perguntas</t>
  </si>
  <si>
    <t>19,17</t>
  </si>
  <si>
    <t>75 perguntas de múltipla escolha candidatas em Conteúdo/banco-de-perguntas-conectadois.xlsx - produção precede revisão 76 e parecer 77 - pendentes revisão editorial aprovação e seleção do lote do piloto</t>
  </si>
  <si>
    <t>Jogo</t>
  </si>
  <si>
    <t>Incluir seleção inicial de temas e formatos</t>
  </si>
  <si>
    <t>Perguntas discursivas e desafios no mesmo dispositivo</t>
  </si>
  <si>
    <t>108</t>
  </si>
  <si>
    <t>Onze temas com dois formatos e modo misto - respostas por jogador e confirmação individual de desafios - pular e reiniciar disponíveis</t>
  </si>
  <si>
    <t>Ampliar todos os temas com perguntas discursivas e desafios</t>
  </si>
  <si>
    <t>44 novas atividades no app e banco editorial</t>
  </si>
  <si>
    <t>Duas perguntas e dois desafios por tema implementados - 22 desafios separados na aba Desafios e perguntas nas abas temáticas - revisão editorial e especializada pendentes antes de publicação</t>
  </si>
  <si>
    <t>Sessões de jogo</t>
  </si>
  <si>
    <t>Persistir partidas rodadas e participantes</t>
  </si>
  <si>
    <t>Serviço de partidas com autorização por casal</t>
  </si>
  <si>
    <t>34,35,41,49,52</t>
  </si>
  <si>
    <t>Implementar modelo de partidas e snapshots de conteúdo - integrar respostas e progresso com transações e testes de concorrência</t>
  </si>
  <si>
    <t>Reconciliar temas formatos mecânicas e escopo do piloto</t>
  </si>
  <si>
    <t>Baseline e matriz de rastreabilidade</t>
  </si>
  <si>
    <t>8,10,34</t>
  </si>
  <si>
    <t>Conciliar perguntas desafios e misto com resposta guardada adivinhação e coincidências - decidir primeiro piloto e atualizar PRD escopo MoSCoW modelo e cronograma - estimativa preliminar</t>
  </si>
  <si>
    <t>Jogos</t>
  </si>
  <si>
    <t>Implementar mecânica bilateral de adivinhação</t>
  </si>
  <si>
    <t>Fluxo integrado com inversão de papéis</t>
  </si>
  <si>
    <t>112,35,52,111</t>
  </si>
  <si>
    <t>Já previsto no escopo MVP - execução condicionada à decisão 112 - incluir modelo de tentativas API interface e testes de autoria - estimativa preliminar</t>
  </si>
  <si>
    <t>Implementar mecânica de escolhas coincidentes</t>
  </si>
  <si>
    <t>Fluxo de escolhas e fechamento</t>
  </si>
  <si>
    <t>Já previsto no escopo MVP - execução condicionada à decisão 112 - revelar somente coincidências e permitir outra ideia - incluir API interface e testes - estimativa preliminar</t>
  </si>
  <si>
    <t>Operação editorial</t>
  </si>
  <si>
    <t>Unificar fonte editorial e validar importação do catálogo</t>
  </si>
  <si>
    <t>Conteúdo versionado e validado</t>
  </si>
  <si>
    <t>108,110,112</t>
  </si>
  <si>
    <t>IDs estáveis por atividade tema nível duração formato revisão e publicação - planilhas como visões sem duplicar contagem - validação de schema cobertura e referências - estimativa preliminar</t>
  </si>
  <si>
    <t>Integrar partidas remotas e retomada em duas contas</t>
  </si>
  <si>
    <t>Jornada bilateral integrada</t>
  </si>
  <si>
    <t>111,53,54,109</t>
  </si>
  <si>
    <t>Distinguir jogo local e remoto - autoria por conta retomada estados de rede pulo e revelação em perguntas desafios e misto - sem confirmar pela outra pessoa - estimativa preliminar</t>
  </si>
  <si>
    <t>Feedback</t>
  </si>
  <si>
    <t>Coletar feedback opcional por atividade</t>
  </si>
  <si>
    <t>Sinais de relevância e desconforto</t>
  </si>
  <si>
    <t>116,52</t>
  </si>
  <si>
    <t>Previsto no piloto - feedback curto opcional sem expor respostas íntimas e triagem editorial agregada - retirada usa operação 52 e 59 - estimativa preliminar</t>
  </si>
  <si>
    <t>Recuperação</t>
  </si>
  <si>
    <t>Ensaiar restauração de backup e retorno de migração</t>
  </si>
  <si>
    <t>Evidência de recuperação</t>
  </si>
  <si>
    <t>41,38</t>
  </si>
  <si>
    <t>Ensaiar em recurso isolado conforme docs/AMBIENTES.md - metas iniciais RPO 24h RTO 4h backup diário e antes de migração retenção 30 dias - medir recuperação conferir integridade invalidar sessões e reaplicar exclusões - estimativa preliminar</t>
  </si>
  <si>
    <t>PWA</t>
  </si>
  <si>
    <t>Configurar instalação PWA e política de cache</t>
  </si>
  <si>
    <t>Manifest instalação e offline seguro</t>
  </si>
  <si>
    <t>38,60,73</t>
  </si>
  <si>
    <t>Formato PWA previsto no MVP - definir shell público sem cache de respostas privadas e validar atualização saída da conta e experiência offline - estimativa preliminar</t>
  </si>
  <si>
    <t>Qualidade do plano</t>
  </si>
  <si>
    <t>Revisar coerência geral entre acompanhamento e entregas</t>
  </si>
  <si>
    <t>Relatório e plano reconciliado</t>
  </si>
  <si>
    <t>34,24,109,110</t>
  </si>
  <si>
    <t>Revisão em docs/REVISAO-GERAL-2026-09-04.md - confronto Excel código e documentos build aprovado achados rastreados notas CSV corrigidas e validador scripts/validate-project-plan.ps1</t>
  </si>
  <si>
    <t>Elaborar RIPD e testes de balanceamento</t>
  </si>
  <si>
    <t>RIPD e LIAs aprovados</t>
  </si>
  <si>
    <t>36,37,112</t>
  </si>
  <si>
    <t>Concluir DEC-06 e DEC-10 do inventário LGPD - LIA-01 segurança LIA-02 analytics necessidade proporcionalidade salvaguardas risco residual e aceite formal antes do piloto</t>
  </si>
  <si>
    <t>Fornecedores</t>
  </si>
  <si>
    <t>Cadastrar operadores e transferências internacionais</t>
  </si>
  <si>
    <t>Registro de operadores e contratos</t>
  </si>
  <si>
    <t>37,38,42</t>
  </si>
  <si>
    <t>Concluir DEC-05 do inventário LGPD - due diligence DPA suboperadores regiões retenção saída incidentes e mecanismo válido da Resolução CD/ANPD 19/2024 antes de dados reais</t>
  </si>
  <si>
    <t>Provisionar homologação e validar configuração por ambiente</t>
  </si>
  <si>
    <t>Homologação isolada com evidências</t>
  </si>
  <si>
    <t>16,38,40,41,42,43,122</t>
  </si>
  <si>
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</si>
  <si>
    <t>Marco</t>
  </si>
  <si>
    <t>Tarefas até</t>
  </si>
  <si>
    <t>Critério de aceite</t>
  </si>
  <si>
    <t>Data planejada</t>
  </si>
  <si>
    <t>Data real</t>
  </si>
  <si>
    <t>MC1</t>
  </si>
  <si>
    <t>Baseline aprovada</t>
  </si>
  <si>
    <t>PRD, escopo, MoSCoW, papéis e pesquisa aprovados</t>
  </si>
  <si>
    <t>18/09/2026</t>
  </si>
  <si>
    <t>MC2</t>
  </si>
  <si>
    <t>Personas e oportunidades validadas</t>
  </si>
  <si>
    <t>24 entrevistas analisadas e personas revisadas</t>
  </si>
  <si>
    <t>02/10/2026</t>
  </si>
  <si>
    <t>MC3</t>
  </si>
  <si>
    <t>Mecânicas e padrão editorial aprovados</t>
  </si>
  <si>
    <t>Três protótipos testados e primeiro lote revisado</t>
  </si>
  <si>
    <t>16/10/2026</t>
  </si>
  <si>
    <t>MC4</t>
  </si>
  <si>
    <t>Fundação técnica pronta</t>
  </si>
  <si>
    <t>PostgreSQL, CI, segredos, observabilidade, recuperação 118 e homologação operacional 123 conforme estratégia 38</t>
  </si>
  <si>
    <t>23/10/2026</t>
  </si>
  <si>
    <t>MC5</t>
  </si>
  <si>
    <t>MVP feature-complete</t>
  </si>
  <si>
    <t>Jornada bilateral validada incluindo 111 e 116 e m?tricas 106-107 - 113-114 conforme decis?o 112</t>
  </si>
  <si>
    <t>20/11/2026</t>
  </si>
  <si>
    <t>MC6</t>
  </si>
  <si>
    <t>Conteúdo do piloto aprovado</t>
  </si>
  <si>
    <t>60 atividades aprovadas com origem nível teste e revisão - tarefas 77,108,110,115</t>
  </si>
  <si>
    <t>27/11/2026</t>
  </si>
  <si>
    <t>MC7</t>
  </si>
  <si>
    <t>QA segurança acessibilidade privacidade UAT e restauração 118 sem bloqueador - PWA 119 validada</t>
  </si>
  <si>
    <t>18/12/2026</t>
  </si>
  <si>
    <t>MC8</t>
  </si>
  <si>
    <t>Go/no-go do piloto</t>
  </si>
  <si>
    <t>Coorte, suporte, métricas e release confirmados</t>
  </si>
  <si>
    <t>08/01/2027</t>
  </si>
  <si>
    <t>MC9</t>
  </si>
  <si>
    <t>Piloto concluído</t>
  </si>
  <si>
    <t>Seis semanas de uso, dados íntegros e entrevistas agendadas</t>
  </si>
  <si>
    <t>19/02/2027</t>
  </si>
  <si>
    <t>MC10</t>
  </si>
  <si>
    <t>Decisão do MVP comercial</t>
  </si>
  <si>
    <t>Relatório do piloto e recomendação aprovados</t>
  </si>
  <si>
    <t>Risco</t>
  </si>
  <si>
    <t>Categoria</t>
  </si>
  <si>
    <t>Probabilidade</t>
  </si>
  <si>
    <t>Impacto</t>
  </si>
  <si>
    <t>Mitigação</t>
  </si>
  <si>
    <t>R01</t>
  </si>
  <si>
    <t>Privacidade de respostas íntimas</t>
  </si>
  <si>
    <t>Crítico</t>
  </si>
  <si>
    <t>Criptografia, autorização por casal e testes de isolamento</t>
  </si>
  <si>
    <t>Aberto</t>
  </si>
  <si>
    <t>R02</t>
  </si>
  <si>
    <t>Baixa adesão do parceiro</t>
  </si>
  <si>
    <t>Alto</t>
  </si>
  <si>
    <t>Simplificar convite, lembretes e medir conversão do pareamento</t>
  </si>
  <si>
    <t>R03</t>
  </si>
  <si>
    <t>Conteúdo percebido como diagnóstico</t>
  </si>
  <si>
    <t>Revisão por especialista e avisos claros de caráter educativo</t>
  </si>
  <si>
    <t>R04</t>
  </si>
  <si>
    <t>Vazamento de credenciais ou sessões</t>
  </si>
  <si>
    <t>Hash forte, expiração, rotação e gestão de segredos</t>
  </si>
  <si>
    <t>R05</t>
  </si>
  <si>
    <t>Atraso por escopo excessivo</t>
  </si>
  <si>
    <t>Proteger MVP, controlar mudanças e revisar prioridades semanalmente</t>
  </si>
  <si>
    <t>R06</t>
  </si>
  <si>
    <t>Dependência do armazenamento JSON</t>
  </si>
  <si>
    <t>Tecnologia</t>
  </si>
  <si>
    <t>Migrar para PostgreSQL antes da publicação</t>
  </si>
  <si>
    <t>R07</t>
  </si>
  <si>
    <t>Não conformidade com LGPD</t>
  </si>
  <si>
    <t>Inventário v1 concluído - resolver DEC-01 a DEC-11 implementar consentimentos e direitos aprovar RIPD LIAs operadores e revisão jurídica</t>
  </si>
  <si>
    <t>R08</t>
  </si>
  <si>
    <t>Problemas de desempenho em mobile</t>
  </si>
  <si>
    <t>Médio</t>
  </si>
  <si>
    <t>Orçamento de performance, imagens otimizadas e testes em aparelhos reais</t>
  </si>
  <si>
    <t>R09</t>
  </si>
  <si>
    <t>Capacidade da equipe abaixo da premissa</t>
  </si>
  <si>
    <t>Confirmar responsáveis e horas, recalcular datas ou reduzir amplitude antes do ciclo</t>
  </si>
  <si>
    <t>R10</t>
  </si>
  <si>
    <t>Recesso e recrutamento atrasam o piloto</t>
  </si>
  <si>
    <t>Antecipar UAT, congelar escopo em dezembro e manter recrutamento contínuo</t>
  </si>
  <si>
    <t>R11</t>
  </si>
  <si>
    <t>Autorização quebrada expõe dados entre casais</t>
  </si>
  <si>
    <t>Autorização por sujeito ação e recurso DTOs mínimos e testes negativos ST-01 a ST-05</t>
  </si>
  <si>
    <t>R12</t>
  </si>
  <si>
    <t>Convite curto permite sequestro da segunda vaga</t>
  </si>
  <si>
    <t>Pelo menos 128 bits hash expiração uso único rate limit e testes ST-06 a ST-08</t>
  </si>
  <si>
    <t>R13</t>
  </si>
  <si>
    <t>Eventos do cliente adulteram métricas do piloto</t>
  </si>
  <si>
    <t>Derivar métricas críticas no servidor rejeitar eventos financeiros e testar replay</t>
  </si>
  <si>
    <t>R14</t>
  </si>
  <si>
    <t>Cache ou notificação expõe conteúdo íntimo</t>
  </si>
  <si>
    <t>No-store service worker sem S3 ou S4 notificações discretas e teste em aparelho compartilhado</t>
  </si>
  <si>
    <t>GESTÃO DE BACKLOG E CERIMÔNIAS</t>
  </si>
  <si>
    <t>Modelo</t>
  </si>
  <si>
    <t>Kanban com compromisso quinzenal</t>
  </si>
  <si>
    <t>Dono da prioridade</t>
  </si>
  <si>
    <t>Fonte operacional</t>
  </si>
  <si>
    <t>Plano Mestre; ferramenta externa deve referenciar o mesmo ID</t>
  </si>
  <si>
    <t>FLUXO</t>
  </si>
  <si>
    <t>REGRA DE SAÍDA</t>
  </si>
  <si>
    <t>WIP</t>
  </si>
  <si>
    <t>EQUIVALÊNCIA NO PLANO</t>
  </si>
  <si>
    <t>RESPONSÁVEL</t>
  </si>
  <si>
    <t>Funil</t>
  </si>
  <si>
    <t>Triagem realizada</t>
  </si>
  <si>
    <t>Sem limite</t>
  </si>
  <si>
    <t>PO</t>
  </si>
  <si>
    <t>Análise</t>
  </si>
  <si>
    <t>Descartar, pesquisar ou detalhar</t>
  </si>
  <si>
    <t>5</t>
  </si>
  <si>
    <t>PO/TL</t>
  </si>
  <si>
    <t>Refinamento</t>
  </si>
  <si>
    <t>Definition of Ready atendida</t>
  </si>
  <si>
    <t>Pronto</t>
  </si>
  <si>
    <t>Selecionado no planejamento</t>
  </si>
  <si>
    <t>Incremento pronto para revisão</t>
  </si>
  <si>
    <t>5 no time; 1 por pessoa</t>
  </si>
  <si>
    <t>Dono do item</t>
  </si>
  <si>
    <t>Em revisão</t>
  </si>
  <si>
    <t>Parecer e ajustes concluídos</t>
  </si>
  <si>
    <t>4</t>
  </si>
  <si>
    <t>Revisor aplicável</t>
  </si>
  <si>
    <t>Em validação</t>
  </si>
  <si>
    <t>Aceite registrado</t>
  </si>
  <si>
    <t>QA/PO</t>
  </si>
  <si>
    <t>Bloqueado</t>
  </si>
  <si>
    <t>Impedimento removido</t>
  </si>
  <si>
    <t>Exige ação</t>
  </si>
  <si>
    <t>Dono + PO/TL</t>
  </si>
  <si>
    <t>Definition of Done atendida</t>
  </si>
  <si>
    <t>Cancelado</t>
  </si>
  <si>
    <t>Motivo registrado</t>
  </si>
  <si>
    <t>CERIMÔNIA</t>
  </si>
  <si>
    <t>CADÊNCIA</t>
  </si>
  <si>
    <t>DURAÇÃO</t>
  </si>
  <si>
    <t>FACILITADOR</t>
  </si>
  <si>
    <t>SAÍDA</t>
  </si>
  <si>
    <t>Triagem do funil</t>
  </si>
  <si>
    <t>Semanal</t>
  </si>
  <si>
    <t>30 min</t>
  </si>
  <si>
    <t>Entradas classificadas</t>
  </si>
  <si>
    <t>60 min</t>
  </si>
  <si>
    <t>Itens Ready e estimados</t>
  </si>
  <si>
    <t>Início da quinzena</t>
  </si>
  <si>
    <t>60–90 min</t>
  </si>
  <si>
    <t>Objetivo, compromisso e donos</t>
  </si>
  <si>
    <t>Check-in</t>
  </si>
  <si>
    <t>Diário assíncrono</t>
  </si>
  <si>
    <t>Até 10 min</t>
  </si>
  <si>
    <t>Cada responsável</t>
  </si>
  <si>
    <t>Progresso, próximo passo e bloqueios</t>
  </si>
  <si>
    <t>Revisão produto/conteúdo</t>
  </si>
  <si>
    <t>45 min</t>
  </si>
  <si>
    <t>PD ou RC</t>
  </si>
  <si>
    <t>Aceite, ajuste ou decisão</t>
  </si>
  <si>
    <t>Revisão técnica e risco</t>
  </si>
  <si>
    <t>TL</t>
  </si>
  <si>
    <t>Decisões, riscos e liberação</t>
  </si>
  <si>
    <t>Demo e aceite</t>
  </si>
  <si>
    <t>Fim da quinzena</t>
  </si>
  <si>
    <t>Aceites, reaberturas e feedback</t>
  </si>
  <si>
    <t>Retrospectiva</t>
  </si>
  <si>
    <t>Rotativo</t>
  </si>
  <si>
    <t>Uma melhoria com dono e prazo</t>
  </si>
  <si>
    <t>Revisão de roadmap</t>
  </si>
  <si>
    <t>Mensal</t>
  </si>
  <si>
    <t>Marcos, riscos e prioridades</t>
  </si>
  <si>
    <t>Go/no-go</t>
  </si>
  <si>
    <t>Por marco</t>
  </si>
  <si>
    <t>Conforme pauta</t>
  </si>
  <si>
    <t>Decisão e condições</t>
  </si>
  <si>
    <t>DEFINITION OF READY</t>
  </si>
  <si>
    <t>CRITÉRIO</t>
  </si>
  <si>
    <t>Ready 1</t>
  </si>
  <si>
    <t>Problema, resultado e responsável claros</t>
  </si>
  <si>
    <t>Ready 2</t>
  </si>
  <si>
    <t>Aceite testável, dependências e riscos conhecidos</t>
  </si>
  <si>
    <t>Ready 3</t>
  </si>
  <si>
    <t>Privacidade, segurança, acessibilidade e analytics avaliados</t>
  </si>
  <si>
    <t>Ready 4</t>
  </si>
  <si>
    <t>Cabe no ciclo; PO confirma valor e TL viabilidade</t>
  </si>
  <si>
    <t>DEFINITION OF DONE</t>
  </si>
  <si>
    <t>Done 1</t>
  </si>
  <si>
    <t>Aceite demonstrado e aprovado</t>
  </si>
  <si>
    <t>Done 2</t>
  </si>
  <si>
    <t>Revisões e testes aplicáveis aprovados</t>
  </si>
  <si>
    <t>Done 3</t>
  </si>
  <si>
    <t>Analytics, documentação e plano atualizados</t>
  </si>
  <si>
    <t>Done 4</t>
  </si>
  <si>
    <t>Sem bloqueador; PO aceita e TL autoriza liberação</t>
  </si>
  <si>
    <t>CLASSE</t>
  </si>
  <si>
    <t>USO</t>
  </si>
  <si>
    <t>TRIAGEM</t>
  </si>
  <si>
    <t>P0 — Expedite</t>
  </si>
  <si>
    <t>Segurança, privacidade, integridade ou produção indisponível</t>
  </si>
  <si>
    <t>Imediata</t>
  </si>
  <si>
    <t>P1 — Crítico</t>
  </si>
  <si>
    <t>Jornada principal ou marco bloqueado</t>
  </si>
  <si>
    <t>Mesmo dia útil</t>
  </si>
  <si>
    <t>P2 — Padrão</t>
  </si>
  <si>
    <t>Planejado ou defeito com contorno</t>
  </si>
  <si>
    <t>Próxima triagem/ciclo</t>
  </si>
  <si>
    <t>P3 — Oportunidade</t>
  </si>
  <si>
    <t>Melhoria sem urgência ou evidência</t>
  </si>
  <si>
    <t>Revisão mensal</t>
  </si>
  <si>
    <t>MÉTRICA</t>
  </si>
  <si>
    <t>META INICIAL</t>
  </si>
  <si>
    <t>Objetivo do ciclo cumprido</t>
  </si>
  <si>
    <t>≥ 80% dos ciclos</t>
  </si>
  <si>
    <t>Itens planejados que entram Ready</t>
  </si>
  <si>
    <t>100%</t>
  </si>
  <si>
    <t>Trabalho não planejado</t>
  </si>
  <si>
    <t>≤ 15% da capacidade</t>
  </si>
  <si>
    <t>Bloqueios acima de 2 dias</t>
  </si>
  <si>
    <t>0 críticos; ≤ 2 totais</t>
  </si>
  <si>
    <t>Retrabalho/reabertura</t>
  </si>
  <si>
    <t>≤ 10%</t>
  </si>
  <si>
    <t>Itens simultâneos por pessoa</t>
  </si>
  <si>
    <t>≤ 1</t>
  </si>
  <si>
    <t>Defeitos P0/P1 ao fim do ciclo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</si>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</sst>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ptos"/>
    </font>
    <font>
      <b/>
      <sz val="10"/>
      <color rgb="FFFFFFFF"/>
      <name val="Aptos"/>
    </font>
    <font>
      <b/>
      <sz val="16"/>
      <color rgb="FFD4A94E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C8B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0" xfId="0" applyFont="1" applyFill="1"/>
    <xf numFmtId="10" fontId="0" fillId="0" borderId="1" xfId="0" applyNumberForma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workbookViewId="0">
      <pane ySplit="3" topLeftCell="A4" activePane="bottomLeft" state="frozen"/>
      <selection pane="bottomLeft" activeCell="H12" sqref="H12"/>
    </sheetView>
  </sheetViews>
  <sheetFormatPr defaultRowHeight="15" x14ac:dyDescent="0.25"/>
  <cols>
    <col min="1" max="1" width="36" customWidth="1"/>
    <col min="2" max="2" width="20" customWidth="1"/>
    <col min="3" max="3" width="34" customWidth="1"/>
  </cols>
  <sheetData>
    <row r="1" spans="1:3" ht="27" x14ac:dyDescent="0.25">
      <c r="A1" s="1" t="s">
        <v>0</v>
      </c>
      <c r="B1" s="1" t="s">
        <v>1</v>
      </c>
      <c r="C1" s="1" t="s">
        <v>1</v>
      </c>
    </row>
    <row r="2" spans="1:3" ht="13.5" x14ac:dyDescent="0.25">
      <c r="A2" t="s">
        <v>2</v>
      </c>
      <c r="B2" t="s">
        <v>3</v>
      </c>
      <c r="C2" t="s">
        <v>1</v>
      </c>
    </row>
    <row r="3" spans="1:3" ht="13.5" x14ac:dyDescent="0.25">
      <c r="A3" t="s">
        <v>4</v>
      </c>
      <c r="B3" t="s">
        <v>5</v>
      </c>
      <c r="C3" t="s">
        <v>6</v>
      </c>
    </row>
    <row r="4" spans="1:3" ht="21" x14ac:dyDescent="0.35">
      <c r="A4" t="s">
        <v>7</v>
      </c>
      <c r="B4" s="2">
        <f>COUNTA('Plano Mestre'!A2:A124)</f>
        <v>123</v>
      </c>
      <c r="C4" t="s">
        <v>8</v>
      </c>
    </row>
    <row r="5" spans="1:3" ht="21" x14ac:dyDescent="0.35">
      <c r="A5" t="s">
        <v>9</v>
      </c>
      <c r="B5" s="2">
        <f>COUNTIF('Plano Mestre'!I2:I124,"Concluído")</f>
        <v>21</v>
      </c>
      <c r="C5" t="s">
        <v>10</v>
      </c>
    </row>
    <row r="6" spans="1:3" ht="21" x14ac:dyDescent="0.35">
      <c r="A6" t="s">
        <v>11</v>
      </c>
      <c r="B6" s="2">
        <f>COUNTIF('Plano Mestre'!I2:I124,"Em andamento")</f>
        <v>36</v>
      </c>
      <c r="C6" t="s">
        <v>12</v>
      </c>
    </row>
    <row r="7" spans="1:3" ht="21" x14ac:dyDescent="0.35">
      <c r="A7" t="s">
        <v>13</v>
      </c>
      <c r="B7" s="2">
        <f>COUNTIF('Plano Mestre'!I2:I124,"Não iniciado")</f>
        <v>66</v>
      </c>
      <c r="C7" t="s">
        <v>14</v>
      </c>
    </row>
    <row r="8" spans="1:3" ht="13.5" x14ac:dyDescent="0.25">
      <c r="A8" t="s">
        <v>15</v>
      </c>
      <c r="B8" s="3">
        <f>AVERAGE('Plano Mestre'!M2:M124)</f>
        <v>0.31707317073170732</v>
      </c>
      <c r="C8" t="s">
        <v>16</v>
      </c>
    </row>
    <row r="9" spans="1:3" ht="21" x14ac:dyDescent="0.35">
      <c r="A9" t="s">
        <v>17</v>
      </c>
      <c r="B9" s="2">
        <f>SUM('Plano Mestre'!J2:J124)</f>
        <v>1674</v>
      </c>
      <c r="C9" t="s">
        <v>18</v>
      </c>
    </row>
    <row r="10" spans="1:3" ht="13.5" x14ac:dyDescent="0.25">
      <c r="A10" t="s">
        <v>1</v>
      </c>
      <c r="B10" t="s">
        <v>1</v>
      </c>
      <c r="C10" t="s">
        <v>1</v>
      </c>
    </row>
    <row r="11" spans="1:3" ht="13.5" x14ac:dyDescent="0.25">
      <c r="A11" t="s">
        <v>19</v>
      </c>
      <c r="B11" t="s">
        <v>20</v>
      </c>
      <c r="C11" t="s">
        <v>21</v>
      </c>
    </row>
    <row r="12" spans="1:3" ht="21" x14ac:dyDescent="0.35">
      <c r="A12" t="s">
        <v>22</v>
      </c>
      <c r="B12" s="2">
        <f>COUNTIF('Plano Mestre'!B2:B124,"Descoberta")</f>
        <v>7</v>
      </c>
      <c r="C12" s="2">
        <f>COUNTIFS('Plano Mestre'!B2:B124,"Descoberta",'Plano Mestre'!I2:I124,"Concluído")</f>
        <v>4</v>
      </c>
    </row>
    <row r="13" spans="1:3" ht="21" x14ac:dyDescent="0.35">
      <c r="A13" t="s">
        <v>23</v>
      </c>
      <c r="B13" s="2">
        <f>COUNTIF('Plano Mestre'!B2:B124,"Planejamento")</f>
        <v>8</v>
      </c>
      <c r="C13" s="2">
        <f>COUNTIFS('Plano Mestre'!B2:B124,"Planejamento",'Plano Mestre'!I2:I124,"Concluído")</f>
        <v>6</v>
      </c>
    </row>
    <row r="14" spans="1:3" ht="21" x14ac:dyDescent="0.35">
      <c r="A14" t="s">
        <v>24</v>
      </c>
      <c r="B14" s="2">
        <f>COUNTIF('Plano Mestre'!B2:B124,"Marca")</f>
        <v>5</v>
      </c>
      <c r="C14" s="2">
        <f>COUNTIFS('Plano Mestre'!B2:B124,"Marca",'Plano Mestre'!I2:I124,"Concluído")</f>
        <v>2</v>
      </c>
    </row>
    <row r="15" spans="1:3" ht="21" x14ac:dyDescent="0.35">
      <c r="A15" t="s">
        <v>25</v>
      </c>
      <c r="B15" s="2">
        <f>COUNTIF('Plano Mestre'!B2:B124,"UX/UI")</f>
        <v>13</v>
      </c>
      <c r="C15" s="2">
        <f>COUNTIFS('Plano Mestre'!B2:B124,"UX/UI",'Plano Mestre'!I2:I124,"Concluído")</f>
        <v>2</v>
      </c>
    </row>
    <row r="16" spans="1:3" ht="21" x14ac:dyDescent="0.35">
      <c r="A16" t="s">
        <v>26</v>
      </c>
      <c r="B16" s="2">
        <f>COUNTIF('Plano Mestre'!B2:B124,"Arquitetura")</f>
        <v>6</v>
      </c>
      <c r="C16" s="2">
        <f>COUNTIFS('Plano Mestre'!B2:B124,"Arquitetura",'Plano Mestre'!I2:I124,"Concluído")</f>
        <v>5</v>
      </c>
    </row>
    <row r="17" spans="1:3" ht="21" x14ac:dyDescent="0.35">
      <c r="A17" t="s">
        <v>27</v>
      </c>
      <c r="B17" s="2">
        <f>COUNTIF('Plano Mestre'!B2:B124,"Infraestrutura")</f>
        <v>8</v>
      </c>
      <c r="C17" s="2">
        <f>COUNTIFS('Plano Mestre'!B2:B124,"Infraestrutura",'Plano Mestre'!I2:I124,"Concluído")</f>
        <v>1</v>
      </c>
    </row>
    <row r="18" spans="1:3" ht="21" x14ac:dyDescent="0.35">
      <c r="A18" t="s">
        <v>28</v>
      </c>
      <c r="B18" s="2">
        <f>COUNTIF('Plano Mestre'!B2:B124,"Backend")</f>
        <v>20</v>
      </c>
      <c r="C18" s="2">
        <f>COUNTIFS('Plano Mestre'!B2:B124,"Backend",'Plano Mestre'!I2:I124,"Concluído")</f>
        <v>0</v>
      </c>
    </row>
    <row r="19" spans="1:3" ht="21" x14ac:dyDescent="0.35">
      <c r="A19" t="s">
        <v>29</v>
      </c>
      <c r="B19" s="2">
        <f>COUNTIF('Plano Mestre'!B2:B124,"Frontend")</f>
        <v>21</v>
      </c>
      <c r="C19" s="2">
        <f>COUNTIFS('Plano Mestre'!B2:B124,"Frontend",'Plano Mestre'!I2:I124,"Concluído")</f>
        <v>1</v>
      </c>
    </row>
    <row r="20" spans="1:3" ht="21" x14ac:dyDescent="0.35">
      <c r="A20" t="s">
        <v>30</v>
      </c>
      <c r="B20" s="2">
        <f>COUNTIF('Plano Mestre'!B2:B124,"Conteúdo")</f>
        <v>5</v>
      </c>
      <c r="C20" s="2">
        <f>COUNTIFS('Plano Mestre'!B2:B124,"Conteúdo",'Plano Mestre'!I2:I124,"Concluído")</f>
        <v>0</v>
      </c>
    </row>
    <row r="21" spans="1:3" ht="21" x14ac:dyDescent="0.35">
      <c r="A21" t="s">
        <v>31</v>
      </c>
      <c r="B21" s="2">
        <f>COUNTIF('Plano Mestre'!B2:B124,"Qualidade")</f>
        <v>10</v>
      </c>
      <c r="C21" s="2">
        <f>COUNTIFS('Plano Mestre'!B2:B124,"Qualidade",'Plano Mestre'!I2:I124,"Concluído")</f>
        <v>0</v>
      </c>
    </row>
    <row r="22" spans="1:3" ht="21" x14ac:dyDescent="0.35">
      <c r="A22" t="s">
        <v>32</v>
      </c>
      <c r="B22" s="2">
        <f>COUNTIF('Plano Mestre'!B2:B124,"Jurídico")</f>
        <v>6</v>
      </c>
      <c r="C22" s="2">
        <f>COUNTIFS('Plano Mestre'!B2:B124,"Jurídico",'Plano Mestre'!I2:I124,"Concluído")</f>
        <v>0</v>
      </c>
    </row>
    <row r="23" spans="1:3" ht="21" x14ac:dyDescent="0.35">
      <c r="A23" t="s">
        <v>33</v>
      </c>
      <c r="B23" s="2">
        <f>COUNTIF('Plano Mestre'!B2:B124,"Lançamento")</f>
        <v>8</v>
      </c>
      <c r="C23" s="2">
        <f>COUNTIFS('Plano Mestre'!B2:B124,"Lançamento",'Plano Mestre'!I2:I124,"Concluído")</f>
        <v>0</v>
      </c>
    </row>
    <row r="24" spans="1:3" ht="21" x14ac:dyDescent="0.35">
      <c r="A24" t="s">
        <v>34</v>
      </c>
      <c r="B24" s="2">
        <f>COUNTIF('Plano Mestre'!B2:B124,"Pós-lançamento")</f>
        <v>6</v>
      </c>
      <c r="C24" s="2">
        <f>COUNTIFS('Plano Mestre'!B2:B124,"Pós-lançamento",'Plano Mestre'!I2:I124,"Concluído")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24"/>
  <sheetViews>
    <sheetView tabSelected="1" workbookViewId="0">
      <pane ySplit="1" topLeftCell="A49" activePane="bottomLeft" state="frozen"/>
      <selection pane="bottomLeft" activeCell="D40" sqref="D40"/>
    </sheetView>
  </sheetViews>
  <sheetFormatPr defaultRowHeight="15" x14ac:dyDescent="0.25"/>
  <cols>
    <col min="1" max="1" width="7" customWidth="1"/>
    <col min="2" max="3" width="18" customWidth="1"/>
    <col min="4" max="4" width="48" customWidth="1"/>
    <col min="5" max="5" width="32" customWidth="1"/>
    <col min="6" max="6" width="13" customWidth="1"/>
    <col min="7" max="8" width="18" customWidth="1"/>
    <col min="9" max="9" width="16" customWidth="1"/>
    <col min="10" max="10" width="14" customWidth="1"/>
    <col min="11" max="12" width="16" customWidth="1"/>
    <col min="13" max="13" width="13" customWidth="1"/>
    <col min="14" max="14" width="36" customWidth="1"/>
  </cols>
  <sheetData>
    <row r="1" spans="1:14" ht="13.5" x14ac:dyDescent="0.25">
      <c r="A1" s="1" t="s">
        <v>35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42</v>
      </c>
      <c r="I1" s="1" t="s">
        <v>43</v>
      </c>
      <c r="J1" s="1" t="s">
        <v>44</v>
      </c>
      <c r="K1" s="1" t="s">
        <v>45</v>
      </c>
      <c r="L1" s="1" t="s">
        <v>46</v>
      </c>
      <c r="M1" s="1" t="s">
        <v>47</v>
      </c>
      <c r="N1" s="1" t="s">
        <v>48</v>
      </c>
    </row>
    <row r="2" spans="1:14" ht="13.5" x14ac:dyDescent="0.25">
      <c r="A2">
        <v>1</v>
      </c>
      <c r="B2" t="s">
        <v>22</v>
      </c>
      <c r="C2" t="s">
        <v>49</v>
      </c>
      <c r="D2" t="s">
        <v>50</v>
      </c>
      <c r="E2" t="s">
        <v>51</v>
      </c>
      <c r="F2" t="s">
        <v>52</v>
      </c>
      <c r="G2" t="s">
        <v>1</v>
      </c>
      <c r="H2" t="s">
        <v>53</v>
      </c>
      <c r="I2" t="s">
        <v>54</v>
      </c>
      <c r="J2">
        <v>4</v>
      </c>
      <c r="K2" t="s">
        <v>1</v>
      </c>
      <c r="L2" t="s">
        <v>1</v>
      </c>
      <c r="M2" s="3">
        <v>1</v>
      </c>
      <c r="N2" t="s">
        <v>55</v>
      </c>
    </row>
    <row r="3" spans="1:14" ht="13.5" x14ac:dyDescent="0.25">
      <c r="A3">
        <v>2</v>
      </c>
      <c r="B3" t="s">
        <v>22</v>
      </c>
      <c r="C3" t="s">
        <v>49</v>
      </c>
      <c r="D3" t="s">
        <v>56</v>
      </c>
      <c r="E3" t="s">
        <v>57</v>
      </c>
      <c r="F3" t="s">
        <v>58</v>
      </c>
      <c r="G3" t="s">
        <v>59</v>
      </c>
      <c r="H3" t="s">
        <v>53</v>
      </c>
      <c r="I3" t="s">
        <v>11</v>
      </c>
      <c r="J3">
        <v>8</v>
      </c>
      <c r="K3" t="s">
        <v>1</v>
      </c>
      <c r="L3" t="s">
        <v>1</v>
      </c>
      <c r="M3" s="3">
        <v>0.5</v>
      </c>
      <c r="N3" t="s">
        <v>60</v>
      </c>
    </row>
    <row r="4" spans="1:14" ht="13.5" x14ac:dyDescent="0.25">
      <c r="A4">
        <v>3</v>
      </c>
      <c r="B4" t="s">
        <v>22</v>
      </c>
      <c r="C4" t="s">
        <v>61</v>
      </c>
      <c r="D4" t="s">
        <v>62</v>
      </c>
      <c r="E4" t="s">
        <v>63</v>
      </c>
      <c r="F4" t="s">
        <v>58</v>
      </c>
      <c r="G4" t="s">
        <v>64</v>
      </c>
      <c r="H4" t="s">
        <v>65</v>
      </c>
      <c r="I4" t="s">
        <v>11</v>
      </c>
      <c r="J4">
        <v>20</v>
      </c>
      <c r="K4" t="s">
        <v>1</v>
      </c>
      <c r="L4" t="s">
        <v>1</v>
      </c>
      <c r="M4" s="3">
        <v>0.5</v>
      </c>
      <c r="N4" t="s">
        <v>66</v>
      </c>
    </row>
    <row r="5" spans="1:14" ht="13.5" x14ac:dyDescent="0.25">
      <c r="A5">
        <v>4</v>
      </c>
      <c r="B5" t="s">
        <v>22</v>
      </c>
      <c r="C5" t="s">
        <v>61</v>
      </c>
      <c r="D5" t="s">
        <v>67</v>
      </c>
      <c r="E5" t="s">
        <v>68</v>
      </c>
      <c r="F5" t="s">
        <v>58</v>
      </c>
      <c r="G5" t="s">
        <v>69</v>
      </c>
      <c r="H5" t="s">
        <v>65</v>
      </c>
      <c r="I5" t="s">
        <v>11</v>
      </c>
      <c r="J5">
        <v>8</v>
      </c>
      <c r="K5" t="s">
        <v>1</v>
      </c>
      <c r="L5" t="s">
        <v>1</v>
      </c>
      <c r="M5" s="3">
        <v>0.5</v>
      </c>
      <c r="N5" t="s">
        <v>70</v>
      </c>
    </row>
    <row r="6" spans="1:14" ht="13.5" x14ac:dyDescent="0.25">
      <c r="A6">
        <v>5</v>
      </c>
      <c r="B6" t="s">
        <v>22</v>
      </c>
      <c r="C6" t="s">
        <v>71</v>
      </c>
      <c r="D6" t="s">
        <v>72</v>
      </c>
      <c r="E6" t="s">
        <v>73</v>
      </c>
      <c r="F6" t="s">
        <v>74</v>
      </c>
      <c r="G6" t="s">
        <v>59</v>
      </c>
      <c r="H6" t="s">
        <v>53</v>
      </c>
      <c r="I6" t="s">
        <v>54</v>
      </c>
      <c r="J6">
        <v>8</v>
      </c>
      <c r="K6" t="s">
        <v>1</v>
      </c>
      <c r="L6" t="s">
        <v>1</v>
      </c>
      <c r="M6" s="3">
        <v>1</v>
      </c>
      <c r="N6" t="s">
        <v>75</v>
      </c>
    </row>
    <row r="7" spans="1:14" ht="13.5" x14ac:dyDescent="0.25">
      <c r="A7">
        <v>6</v>
      </c>
      <c r="B7" t="s">
        <v>22</v>
      </c>
      <c r="C7" t="s">
        <v>76</v>
      </c>
      <c r="D7" t="s">
        <v>77</v>
      </c>
      <c r="E7" t="s">
        <v>78</v>
      </c>
      <c r="F7" t="s">
        <v>58</v>
      </c>
      <c r="G7" t="s">
        <v>79</v>
      </c>
      <c r="H7" t="s">
        <v>53</v>
      </c>
      <c r="I7" t="s">
        <v>54</v>
      </c>
      <c r="J7">
        <v>8</v>
      </c>
      <c r="K7" t="s">
        <v>1</v>
      </c>
      <c r="L7" t="s">
        <v>1</v>
      </c>
      <c r="M7" s="3">
        <v>1</v>
      </c>
      <c r="N7" t="s">
        <v>80</v>
      </c>
    </row>
    <row r="8" spans="1:14" ht="13.5" x14ac:dyDescent="0.25">
      <c r="A8">
        <v>7</v>
      </c>
      <c r="B8" t="s">
        <v>22</v>
      </c>
      <c r="C8" t="s">
        <v>49</v>
      </c>
      <c r="D8" t="s">
        <v>81</v>
      </c>
      <c r="E8" t="s">
        <v>82</v>
      </c>
      <c r="F8" t="s">
        <v>58</v>
      </c>
      <c r="G8" t="s">
        <v>59</v>
      </c>
      <c r="H8" t="s">
        <v>53</v>
      </c>
      <c r="I8" t="s">
        <v>54</v>
      </c>
      <c r="J8">
        <v>5</v>
      </c>
      <c r="K8" t="s">
        <v>1</v>
      </c>
      <c r="L8" t="s">
        <v>1</v>
      </c>
      <c r="M8" s="3">
        <v>1</v>
      </c>
      <c r="N8" t="s">
        <v>83</v>
      </c>
    </row>
    <row r="9" spans="1:14" ht="13.5" x14ac:dyDescent="0.25">
      <c r="A9">
        <v>8</v>
      </c>
      <c r="B9" t="s">
        <v>23</v>
      </c>
      <c r="C9" t="s">
        <v>49</v>
      </c>
      <c r="D9" t="s">
        <v>84</v>
      </c>
      <c r="E9" t="s">
        <v>85</v>
      </c>
      <c r="F9" t="s">
        <v>52</v>
      </c>
      <c r="G9" t="s">
        <v>86</v>
      </c>
      <c r="H9" t="s">
        <v>53</v>
      </c>
      <c r="I9" t="s">
        <v>11</v>
      </c>
      <c r="J9">
        <v>16</v>
      </c>
      <c r="K9" t="s">
        <v>1</v>
      </c>
      <c r="L9" t="s">
        <v>1</v>
      </c>
      <c r="M9" s="3">
        <v>0.5</v>
      </c>
      <c r="N9" t="s">
        <v>87</v>
      </c>
    </row>
    <row r="10" spans="1:14" ht="13.5" x14ac:dyDescent="0.25">
      <c r="A10">
        <v>9</v>
      </c>
      <c r="B10" t="s">
        <v>23</v>
      </c>
      <c r="C10" t="s">
        <v>49</v>
      </c>
      <c r="D10" t="s">
        <v>88</v>
      </c>
      <c r="E10" t="s">
        <v>89</v>
      </c>
      <c r="F10" t="s">
        <v>52</v>
      </c>
      <c r="G10" t="s">
        <v>90</v>
      </c>
      <c r="H10" t="s">
        <v>53</v>
      </c>
      <c r="I10" t="s">
        <v>54</v>
      </c>
      <c r="J10">
        <v>6</v>
      </c>
      <c r="K10" t="s">
        <v>1</v>
      </c>
      <c r="L10" t="s">
        <v>1</v>
      </c>
      <c r="M10" s="3">
        <v>1</v>
      </c>
      <c r="N10" t="s">
        <v>91</v>
      </c>
    </row>
    <row r="11" spans="1:14" ht="13.5" x14ac:dyDescent="0.25">
      <c r="A11">
        <v>10</v>
      </c>
      <c r="B11" t="s">
        <v>23</v>
      </c>
      <c r="C11" t="s">
        <v>49</v>
      </c>
      <c r="D11" t="s">
        <v>92</v>
      </c>
      <c r="E11" t="s">
        <v>93</v>
      </c>
      <c r="F11" t="s">
        <v>52</v>
      </c>
      <c r="G11" t="s">
        <v>94</v>
      </c>
      <c r="H11" t="s">
        <v>53</v>
      </c>
      <c r="I11" t="s">
        <v>54</v>
      </c>
      <c r="J11">
        <v>6</v>
      </c>
      <c r="K11" t="s">
        <v>1</v>
      </c>
      <c r="L11" t="s">
        <v>1</v>
      </c>
      <c r="M11" s="3">
        <v>1</v>
      </c>
      <c r="N11" t="s">
        <v>95</v>
      </c>
    </row>
    <row r="12" spans="1:14" ht="13.5" x14ac:dyDescent="0.25">
      <c r="A12">
        <v>11</v>
      </c>
      <c r="B12" t="s">
        <v>23</v>
      </c>
      <c r="C12" t="s">
        <v>96</v>
      </c>
      <c r="D12" t="s">
        <v>97</v>
      </c>
      <c r="E12" t="s">
        <v>98</v>
      </c>
      <c r="F12" t="s">
        <v>58</v>
      </c>
      <c r="G12" t="s">
        <v>99</v>
      </c>
      <c r="H12" t="s">
        <v>53</v>
      </c>
      <c r="I12" t="s">
        <v>54</v>
      </c>
      <c r="J12">
        <v>6</v>
      </c>
      <c r="K12" t="s">
        <v>100</v>
      </c>
      <c r="L12" t="s">
        <v>101</v>
      </c>
      <c r="M12" s="3">
        <v>1</v>
      </c>
      <c r="N12" t="s">
        <v>102</v>
      </c>
    </row>
    <row r="13" spans="1:14" ht="13.5" x14ac:dyDescent="0.25">
      <c r="A13">
        <v>12</v>
      </c>
      <c r="B13" t="s">
        <v>23</v>
      </c>
      <c r="C13" t="s">
        <v>96</v>
      </c>
      <c r="D13" t="s">
        <v>103</v>
      </c>
      <c r="E13" t="s">
        <v>104</v>
      </c>
      <c r="F13" t="s">
        <v>74</v>
      </c>
      <c r="G13" t="s">
        <v>105</v>
      </c>
      <c r="H13" t="s">
        <v>106</v>
      </c>
      <c r="I13" t="s">
        <v>54</v>
      </c>
      <c r="J13">
        <v>4</v>
      </c>
      <c r="K13" t="s">
        <v>1</v>
      </c>
      <c r="L13" t="s">
        <v>1</v>
      </c>
      <c r="M13" s="3">
        <v>1</v>
      </c>
      <c r="N13" t="s">
        <v>107</v>
      </c>
    </row>
    <row r="14" spans="1:14" ht="13.5" x14ac:dyDescent="0.25">
      <c r="A14">
        <v>13</v>
      </c>
      <c r="B14" t="s">
        <v>23</v>
      </c>
      <c r="C14" t="s">
        <v>96</v>
      </c>
      <c r="D14" t="s">
        <v>108</v>
      </c>
      <c r="E14" t="s">
        <v>109</v>
      </c>
      <c r="F14" t="s">
        <v>58</v>
      </c>
      <c r="G14" t="s">
        <v>110</v>
      </c>
      <c r="H14" t="s">
        <v>106</v>
      </c>
      <c r="I14" t="s">
        <v>54</v>
      </c>
      <c r="J14">
        <v>4</v>
      </c>
      <c r="K14" t="s">
        <v>1</v>
      </c>
      <c r="L14" t="s">
        <v>1</v>
      </c>
      <c r="M14" s="3">
        <v>1</v>
      </c>
      <c r="N14" t="s">
        <v>111</v>
      </c>
    </row>
    <row r="15" spans="1:14" ht="13.5" x14ac:dyDescent="0.25">
      <c r="A15">
        <v>14</v>
      </c>
      <c r="B15" t="s">
        <v>24</v>
      </c>
      <c r="C15" t="s">
        <v>112</v>
      </c>
      <c r="D15" t="s">
        <v>113</v>
      </c>
      <c r="E15" t="s">
        <v>114</v>
      </c>
      <c r="F15" t="s">
        <v>58</v>
      </c>
      <c r="G15" t="s">
        <v>59</v>
      </c>
      <c r="H15" t="s">
        <v>115</v>
      </c>
      <c r="I15" t="s">
        <v>116</v>
      </c>
      <c r="J15">
        <v>8</v>
      </c>
      <c r="K15" t="s">
        <v>1</v>
      </c>
      <c r="L15" t="s">
        <v>1</v>
      </c>
      <c r="M15" s="3">
        <v>0</v>
      </c>
      <c r="N15" t="s">
        <v>1</v>
      </c>
    </row>
    <row r="16" spans="1:14" ht="13.5" x14ac:dyDescent="0.25">
      <c r="A16">
        <v>15</v>
      </c>
      <c r="B16" t="s">
        <v>24</v>
      </c>
      <c r="C16" t="s">
        <v>32</v>
      </c>
      <c r="D16" t="s">
        <v>117</v>
      </c>
      <c r="E16" t="s">
        <v>118</v>
      </c>
      <c r="F16" t="s">
        <v>58</v>
      </c>
      <c r="G16" t="s">
        <v>119</v>
      </c>
      <c r="H16" t="s">
        <v>120</v>
      </c>
      <c r="I16" t="s">
        <v>116</v>
      </c>
      <c r="J16">
        <v>4</v>
      </c>
      <c r="K16" t="s">
        <v>1</v>
      </c>
      <c r="L16" t="s">
        <v>1</v>
      </c>
      <c r="M16" s="3">
        <v>0</v>
      </c>
      <c r="N16" t="s">
        <v>1</v>
      </c>
    </row>
    <row r="17" spans="1:14" ht="13.5" x14ac:dyDescent="0.25">
      <c r="A17">
        <v>16</v>
      </c>
      <c r="B17" t="s">
        <v>24</v>
      </c>
      <c r="C17" t="s">
        <v>112</v>
      </c>
      <c r="D17" t="s">
        <v>121</v>
      </c>
      <c r="E17" t="s">
        <v>122</v>
      </c>
      <c r="F17" t="s">
        <v>58</v>
      </c>
      <c r="G17" t="s">
        <v>119</v>
      </c>
      <c r="H17" t="s">
        <v>115</v>
      </c>
      <c r="I17" t="s">
        <v>116</v>
      </c>
      <c r="J17">
        <v>3</v>
      </c>
      <c r="K17" t="s">
        <v>1</v>
      </c>
      <c r="L17" t="s">
        <v>1</v>
      </c>
      <c r="M17" s="3">
        <v>0</v>
      </c>
      <c r="N17" t="s">
        <v>1</v>
      </c>
    </row>
    <row r="18" spans="1:14" ht="13.5" x14ac:dyDescent="0.25">
      <c r="A18">
        <v>17</v>
      </c>
      <c r="B18" t="s">
        <v>24</v>
      </c>
      <c r="C18" t="s">
        <v>112</v>
      </c>
      <c r="D18" t="s">
        <v>123</v>
      </c>
      <c r="E18" t="s">
        <v>124</v>
      </c>
      <c r="F18" t="s">
        <v>74</v>
      </c>
      <c r="G18" t="s">
        <v>119</v>
      </c>
      <c r="H18" t="s">
        <v>115</v>
      </c>
      <c r="I18" t="s">
        <v>54</v>
      </c>
      <c r="J18">
        <v>8</v>
      </c>
      <c r="K18" t="s">
        <v>1</v>
      </c>
      <c r="L18" t="s">
        <v>1</v>
      </c>
      <c r="M18" s="3">
        <v>1</v>
      </c>
      <c r="N18" t="s">
        <v>125</v>
      </c>
    </row>
    <row r="19" spans="1:14" ht="13.5" x14ac:dyDescent="0.25">
      <c r="A19">
        <v>18</v>
      </c>
      <c r="B19" t="s">
        <v>24</v>
      </c>
      <c r="C19" t="s">
        <v>126</v>
      </c>
      <c r="D19" t="s">
        <v>127</v>
      </c>
      <c r="E19" t="s">
        <v>128</v>
      </c>
      <c r="F19" t="s">
        <v>58</v>
      </c>
      <c r="G19" t="s">
        <v>129</v>
      </c>
      <c r="H19" t="s">
        <v>115</v>
      </c>
      <c r="I19" t="s">
        <v>54</v>
      </c>
      <c r="J19">
        <v>16</v>
      </c>
      <c r="K19" t="s">
        <v>1</v>
      </c>
      <c r="L19" t="s">
        <v>1</v>
      </c>
      <c r="M19" s="3">
        <v>1</v>
      </c>
      <c r="N19" t="s">
        <v>130</v>
      </c>
    </row>
    <row r="20" spans="1:14" ht="13.5" x14ac:dyDescent="0.25">
      <c r="A20">
        <v>19</v>
      </c>
      <c r="B20" t="s">
        <v>25</v>
      </c>
      <c r="C20" t="s">
        <v>61</v>
      </c>
      <c r="D20" t="s">
        <v>131</v>
      </c>
      <c r="E20" t="s">
        <v>132</v>
      </c>
      <c r="F20" t="s">
        <v>58</v>
      </c>
      <c r="G20" t="s">
        <v>90</v>
      </c>
      <c r="H20" t="s">
        <v>65</v>
      </c>
      <c r="I20" t="s">
        <v>54</v>
      </c>
      <c r="J20">
        <v>12</v>
      </c>
      <c r="K20" t="s">
        <v>1</v>
      </c>
      <c r="L20" t="s">
        <v>1</v>
      </c>
      <c r="M20" s="3">
        <v>1</v>
      </c>
      <c r="N20" t="s">
        <v>133</v>
      </c>
    </row>
    <row r="21" spans="1:14" ht="13.5" x14ac:dyDescent="0.25">
      <c r="A21">
        <v>20</v>
      </c>
      <c r="B21" t="s">
        <v>25</v>
      </c>
      <c r="C21" t="s">
        <v>26</v>
      </c>
      <c r="D21" t="s">
        <v>134</v>
      </c>
      <c r="E21" t="s">
        <v>135</v>
      </c>
      <c r="F21" t="s">
        <v>58</v>
      </c>
      <c r="G21" t="s">
        <v>136</v>
      </c>
      <c r="H21" t="s">
        <v>115</v>
      </c>
      <c r="I21" t="s">
        <v>54</v>
      </c>
      <c r="J21">
        <v>12</v>
      </c>
      <c r="K21" t="s">
        <v>1</v>
      </c>
      <c r="L21" t="s">
        <v>1</v>
      </c>
      <c r="M21" s="3">
        <v>1</v>
      </c>
      <c r="N21" t="s">
        <v>137</v>
      </c>
    </row>
    <row r="22" spans="1:14" ht="13.5" x14ac:dyDescent="0.25">
      <c r="A22">
        <v>21</v>
      </c>
      <c r="B22" t="s">
        <v>25</v>
      </c>
      <c r="C22" t="s">
        <v>138</v>
      </c>
      <c r="D22" t="s">
        <v>139</v>
      </c>
      <c r="E22" t="s">
        <v>140</v>
      </c>
      <c r="F22" t="s">
        <v>52</v>
      </c>
      <c r="G22" t="s">
        <v>141</v>
      </c>
      <c r="H22" t="s">
        <v>115</v>
      </c>
      <c r="I22" t="s">
        <v>11</v>
      </c>
      <c r="J22">
        <v>6</v>
      </c>
      <c r="K22" t="s">
        <v>1</v>
      </c>
      <c r="L22" t="s">
        <v>1</v>
      </c>
      <c r="M22" s="3">
        <v>0.5</v>
      </c>
      <c r="N22" t="s">
        <v>142</v>
      </c>
    </row>
    <row r="23" spans="1:14" ht="13.5" x14ac:dyDescent="0.25">
      <c r="A23">
        <v>22</v>
      </c>
      <c r="B23" t="s">
        <v>25</v>
      </c>
      <c r="C23" t="s">
        <v>138</v>
      </c>
      <c r="D23" t="s">
        <v>143</v>
      </c>
      <c r="E23" t="s">
        <v>140</v>
      </c>
      <c r="F23" t="s">
        <v>52</v>
      </c>
      <c r="G23" t="s">
        <v>141</v>
      </c>
      <c r="H23" t="s">
        <v>115</v>
      </c>
      <c r="I23" t="s">
        <v>11</v>
      </c>
      <c r="J23">
        <v>8</v>
      </c>
      <c r="K23" t="s">
        <v>1</v>
      </c>
      <c r="L23" t="s">
        <v>1</v>
      </c>
      <c r="M23" s="3">
        <v>0.5</v>
      </c>
      <c r="N23" t="s">
        <v>144</v>
      </c>
    </row>
    <row r="24" spans="1:14" ht="13.5" x14ac:dyDescent="0.25">
      <c r="A24">
        <v>23</v>
      </c>
      <c r="B24" t="s">
        <v>25</v>
      </c>
      <c r="C24" t="s">
        <v>138</v>
      </c>
      <c r="D24" t="s">
        <v>145</v>
      </c>
      <c r="E24" t="s">
        <v>140</v>
      </c>
      <c r="F24" t="s">
        <v>52</v>
      </c>
      <c r="G24" t="s">
        <v>141</v>
      </c>
      <c r="H24" t="s">
        <v>115</v>
      </c>
      <c r="I24" t="s">
        <v>11</v>
      </c>
      <c r="J24">
        <v>8</v>
      </c>
      <c r="K24" t="s">
        <v>1</v>
      </c>
      <c r="L24" t="s">
        <v>1</v>
      </c>
      <c r="M24" s="3">
        <v>0.5</v>
      </c>
      <c r="N24" t="s">
        <v>1</v>
      </c>
    </row>
    <row r="25" spans="1:14" ht="13.5" x14ac:dyDescent="0.25">
      <c r="A25">
        <v>24</v>
      </c>
      <c r="B25" t="s">
        <v>25</v>
      </c>
      <c r="C25" t="s">
        <v>138</v>
      </c>
      <c r="D25" t="s">
        <v>146</v>
      </c>
      <c r="E25" t="s">
        <v>140</v>
      </c>
      <c r="F25" t="s">
        <v>58</v>
      </c>
      <c r="G25" t="s">
        <v>141</v>
      </c>
      <c r="H25" t="s">
        <v>115</v>
      </c>
      <c r="I25" t="s">
        <v>11</v>
      </c>
      <c r="J25">
        <v>8</v>
      </c>
      <c r="K25" t="s">
        <v>1</v>
      </c>
      <c r="L25" t="s">
        <v>1</v>
      </c>
      <c r="M25" s="3">
        <v>0.5</v>
      </c>
      <c r="N25" t="s">
        <v>147</v>
      </c>
    </row>
    <row r="26" spans="1:14" ht="13.5" x14ac:dyDescent="0.25">
      <c r="A26">
        <v>25</v>
      </c>
      <c r="B26" t="s">
        <v>25</v>
      </c>
      <c r="C26" t="s">
        <v>138</v>
      </c>
      <c r="D26" t="s">
        <v>148</v>
      </c>
      <c r="E26" t="s">
        <v>140</v>
      </c>
      <c r="F26" t="s">
        <v>58</v>
      </c>
      <c r="G26" t="s">
        <v>141</v>
      </c>
      <c r="H26" t="s">
        <v>115</v>
      </c>
      <c r="I26" t="s">
        <v>11</v>
      </c>
      <c r="J26">
        <v>10</v>
      </c>
      <c r="K26" t="s">
        <v>1</v>
      </c>
      <c r="L26" t="s">
        <v>1</v>
      </c>
      <c r="M26" s="3">
        <v>0.5</v>
      </c>
      <c r="N26" t="s">
        <v>149</v>
      </c>
    </row>
    <row r="27" spans="1:14" ht="13.5" x14ac:dyDescent="0.25">
      <c r="A27">
        <v>26</v>
      </c>
      <c r="B27" t="s">
        <v>25</v>
      </c>
      <c r="C27" t="s">
        <v>138</v>
      </c>
      <c r="D27" t="s">
        <v>150</v>
      </c>
      <c r="E27" t="s">
        <v>140</v>
      </c>
      <c r="F27" t="s">
        <v>58</v>
      </c>
      <c r="G27" t="s">
        <v>141</v>
      </c>
      <c r="H27" t="s">
        <v>115</v>
      </c>
      <c r="I27" t="s">
        <v>11</v>
      </c>
      <c r="J27">
        <v>10</v>
      </c>
      <c r="K27" t="s">
        <v>1</v>
      </c>
      <c r="L27" t="s">
        <v>1</v>
      </c>
      <c r="M27" s="3">
        <v>0.5</v>
      </c>
      <c r="N27" t="s">
        <v>151</v>
      </c>
    </row>
    <row r="28" spans="1:14" ht="13.5" x14ac:dyDescent="0.25">
      <c r="A28">
        <v>27</v>
      </c>
      <c r="B28" t="s">
        <v>25</v>
      </c>
      <c r="C28" t="s">
        <v>126</v>
      </c>
      <c r="D28" t="s">
        <v>152</v>
      </c>
      <c r="E28" t="s">
        <v>153</v>
      </c>
      <c r="F28" t="s">
        <v>58</v>
      </c>
      <c r="G28" t="s">
        <v>154</v>
      </c>
      <c r="H28" t="s">
        <v>115</v>
      </c>
      <c r="I28" t="s">
        <v>11</v>
      </c>
      <c r="J28">
        <v>20</v>
      </c>
      <c r="K28" t="s">
        <v>1</v>
      </c>
      <c r="L28" t="s">
        <v>1</v>
      </c>
      <c r="M28" s="3">
        <v>0.5</v>
      </c>
      <c r="N28" t="s">
        <v>155</v>
      </c>
    </row>
    <row r="29" spans="1:14" ht="13.5" x14ac:dyDescent="0.25">
      <c r="A29">
        <v>28</v>
      </c>
      <c r="B29" t="s">
        <v>25</v>
      </c>
      <c r="C29" t="s">
        <v>126</v>
      </c>
      <c r="D29" t="s">
        <v>156</v>
      </c>
      <c r="E29" t="s">
        <v>157</v>
      </c>
      <c r="F29" t="s">
        <v>58</v>
      </c>
      <c r="G29" t="s">
        <v>158</v>
      </c>
      <c r="H29" t="s">
        <v>115</v>
      </c>
      <c r="I29" t="s">
        <v>11</v>
      </c>
      <c r="J29">
        <v>20</v>
      </c>
      <c r="K29" t="s">
        <v>1</v>
      </c>
      <c r="L29" t="s">
        <v>1</v>
      </c>
      <c r="M29" s="3">
        <v>0.5</v>
      </c>
      <c r="N29" t="s">
        <v>159</v>
      </c>
    </row>
    <row r="30" spans="1:14" ht="13.5" x14ac:dyDescent="0.25">
      <c r="A30">
        <v>29</v>
      </c>
      <c r="B30" t="s">
        <v>25</v>
      </c>
      <c r="C30" t="s">
        <v>126</v>
      </c>
      <c r="D30" t="s">
        <v>160</v>
      </c>
      <c r="E30" t="s">
        <v>161</v>
      </c>
      <c r="F30" t="s">
        <v>58</v>
      </c>
      <c r="G30" t="s">
        <v>162</v>
      </c>
      <c r="H30" t="s">
        <v>115</v>
      </c>
      <c r="I30" t="s">
        <v>11</v>
      </c>
      <c r="J30">
        <v>30</v>
      </c>
      <c r="K30" t="s">
        <v>1</v>
      </c>
      <c r="L30" t="s">
        <v>1</v>
      </c>
      <c r="M30" s="3">
        <v>0.5</v>
      </c>
      <c r="N30" t="s">
        <v>163</v>
      </c>
    </row>
    <row r="31" spans="1:14" ht="13.5" x14ac:dyDescent="0.25">
      <c r="A31">
        <v>30</v>
      </c>
      <c r="B31" t="s">
        <v>25</v>
      </c>
      <c r="C31" t="s">
        <v>61</v>
      </c>
      <c r="D31" t="s">
        <v>164</v>
      </c>
      <c r="E31" t="s">
        <v>165</v>
      </c>
      <c r="F31" t="s">
        <v>58</v>
      </c>
      <c r="G31" t="s">
        <v>166</v>
      </c>
      <c r="H31" t="s">
        <v>65</v>
      </c>
      <c r="I31" t="s">
        <v>11</v>
      </c>
      <c r="J31">
        <v>16</v>
      </c>
      <c r="K31" t="s">
        <v>1</v>
      </c>
      <c r="L31" t="s">
        <v>1</v>
      </c>
      <c r="M31" s="3">
        <v>0.5</v>
      </c>
      <c r="N31" t="s">
        <v>167</v>
      </c>
    </row>
    <row r="32" spans="1:14" ht="13.5" x14ac:dyDescent="0.25">
      <c r="A32">
        <v>31</v>
      </c>
      <c r="B32" t="s">
        <v>25</v>
      </c>
      <c r="C32" t="s">
        <v>126</v>
      </c>
      <c r="D32" t="s">
        <v>168</v>
      </c>
      <c r="E32" t="s">
        <v>169</v>
      </c>
      <c r="F32" t="s">
        <v>58</v>
      </c>
      <c r="G32" t="s">
        <v>170</v>
      </c>
      <c r="H32" t="s">
        <v>115</v>
      </c>
      <c r="I32" t="s">
        <v>116</v>
      </c>
      <c r="J32">
        <v>12</v>
      </c>
      <c r="K32" t="s">
        <v>1</v>
      </c>
      <c r="L32" t="s">
        <v>1</v>
      </c>
      <c r="M32" s="3">
        <v>0</v>
      </c>
      <c r="N32" t="s">
        <v>171</v>
      </c>
    </row>
    <row r="33" spans="1:14" ht="13.5" x14ac:dyDescent="0.25">
      <c r="A33">
        <v>32</v>
      </c>
      <c r="B33" t="s">
        <v>26</v>
      </c>
      <c r="C33" t="s">
        <v>172</v>
      </c>
      <c r="D33" t="s">
        <v>173</v>
      </c>
      <c r="E33" t="s">
        <v>174</v>
      </c>
      <c r="F33" t="s">
        <v>52</v>
      </c>
      <c r="G33" t="s">
        <v>99</v>
      </c>
      <c r="H33" t="s">
        <v>175</v>
      </c>
      <c r="I33" t="s">
        <v>54</v>
      </c>
      <c r="J33">
        <v>8</v>
      </c>
      <c r="K33" t="s">
        <v>1</v>
      </c>
      <c r="L33" t="s">
        <v>1</v>
      </c>
      <c r="M33" s="3">
        <v>1</v>
      </c>
      <c r="N33" t="s">
        <v>1</v>
      </c>
    </row>
    <row r="34" spans="1:14" ht="13.5" x14ac:dyDescent="0.25">
      <c r="A34">
        <v>33</v>
      </c>
      <c r="B34" t="s">
        <v>26</v>
      </c>
      <c r="C34" t="s">
        <v>172</v>
      </c>
      <c r="D34" t="s">
        <v>176</v>
      </c>
      <c r="E34" t="s">
        <v>177</v>
      </c>
      <c r="F34" t="s">
        <v>58</v>
      </c>
      <c r="G34" t="s">
        <v>178</v>
      </c>
      <c r="H34" t="s">
        <v>175</v>
      </c>
      <c r="I34" t="s">
        <v>54</v>
      </c>
      <c r="J34">
        <v>5</v>
      </c>
      <c r="K34" t="s">
        <v>1</v>
      </c>
      <c r="L34" t="s">
        <v>1</v>
      </c>
      <c r="M34" s="3">
        <v>1</v>
      </c>
      <c r="N34" t="s">
        <v>1</v>
      </c>
    </row>
    <row r="35" spans="1:14" ht="13.5" x14ac:dyDescent="0.25">
      <c r="A35">
        <v>34</v>
      </c>
      <c r="B35" t="s">
        <v>26</v>
      </c>
      <c r="C35" t="s">
        <v>179</v>
      </c>
      <c r="D35" t="s">
        <v>180</v>
      </c>
      <c r="E35" t="s">
        <v>181</v>
      </c>
      <c r="F35" t="s">
        <v>52</v>
      </c>
      <c r="G35" t="s">
        <v>178</v>
      </c>
      <c r="H35" t="s">
        <v>182</v>
      </c>
      <c r="I35" t="s">
        <v>54</v>
      </c>
      <c r="J35">
        <v>12</v>
      </c>
      <c r="K35" t="s">
        <v>1</v>
      </c>
      <c r="L35" t="s">
        <v>1</v>
      </c>
      <c r="M35" s="3">
        <v>1</v>
      </c>
      <c r="N35" t="s">
        <v>183</v>
      </c>
    </row>
    <row r="36" spans="1:14" ht="13.5" x14ac:dyDescent="0.25">
      <c r="A36">
        <v>35</v>
      </c>
      <c r="B36" t="s">
        <v>26</v>
      </c>
      <c r="C36" t="s">
        <v>184</v>
      </c>
      <c r="D36" t="s">
        <v>185</v>
      </c>
      <c r="E36" t="s">
        <v>186</v>
      </c>
      <c r="F36" t="s">
        <v>58</v>
      </c>
      <c r="G36" t="s">
        <v>187</v>
      </c>
      <c r="H36" t="s">
        <v>175</v>
      </c>
      <c r="I36" t="s">
        <v>11</v>
      </c>
      <c r="J36">
        <v>12</v>
      </c>
      <c r="K36" t="s">
        <v>1</v>
      </c>
      <c r="L36" t="s">
        <v>1</v>
      </c>
      <c r="M36" s="3">
        <v>0.5</v>
      </c>
      <c r="N36" t="s">
        <v>188</v>
      </c>
    </row>
    <row r="37" spans="1:14" ht="13.5" x14ac:dyDescent="0.25">
      <c r="A37">
        <v>36</v>
      </c>
      <c r="B37" t="s">
        <v>26</v>
      </c>
      <c r="C37" t="s">
        <v>189</v>
      </c>
      <c r="D37" t="s">
        <v>190</v>
      </c>
      <c r="E37" t="s">
        <v>191</v>
      </c>
      <c r="F37" t="s">
        <v>52</v>
      </c>
      <c r="G37" t="s">
        <v>192</v>
      </c>
      <c r="H37" t="s">
        <v>175</v>
      </c>
      <c r="I37" t="s">
        <v>54</v>
      </c>
      <c r="J37">
        <v>12</v>
      </c>
      <c r="K37" t="s">
        <v>1</v>
      </c>
      <c r="L37" t="s">
        <v>1</v>
      </c>
      <c r="M37" s="3">
        <v>1</v>
      </c>
      <c r="N37" t="s">
        <v>193</v>
      </c>
    </row>
    <row r="38" spans="1:14" ht="13.5" x14ac:dyDescent="0.25">
      <c r="A38">
        <v>37</v>
      </c>
      <c r="B38" t="s">
        <v>26</v>
      </c>
      <c r="C38" t="s">
        <v>194</v>
      </c>
      <c r="D38" t="s">
        <v>195</v>
      </c>
      <c r="E38" t="s">
        <v>196</v>
      </c>
      <c r="F38" t="s">
        <v>52</v>
      </c>
      <c r="G38" t="s">
        <v>197</v>
      </c>
      <c r="H38" t="s">
        <v>120</v>
      </c>
      <c r="I38" t="s">
        <v>54</v>
      </c>
      <c r="J38">
        <v>12</v>
      </c>
      <c r="K38" t="s">
        <v>198</v>
      </c>
      <c r="L38" t="s">
        <v>198</v>
      </c>
      <c r="M38" s="3">
        <v>1</v>
      </c>
      <c r="N38" t="s">
        <v>199</v>
      </c>
    </row>
    <row r="39" spans="1:14" ht="13.5" x14ac:dyDescent="0.25">
      <c r="A39">
        <v>38</v>
      </c>
      <c r="B39" t="s">
        <v>27</v>
      </c>
      <c r="C39" t="s">
        <v>200</v>
      </c>
      <c r="D39" t="s">
        <v>201</v>
      </c>
      <c r="E39" t="s">
        <v>202</v>
      </c>
      <c r="F39" t="s">
        <v>58</v>
      </c>
      <c r="G39" t="s">
        <v>178</v>
      </c>
      <c r="H39" t="s">
        <v>203</v>
      </c>
      <c r="I39" t="s">
        <v>54</v>
      </c>
      <c r="J39">
        <v>6</v>
      </c>
      <c r="K39" t="s">
        <v>1</v>
      </c>
      <c r="L39" t="s">
        <v>1</v>
      </c>
      <c r="M39" s="3">
        <v>1</v>
      </c>
      <c r="N39" t="s">
        <v>204</v>
      </c>
    </row>
    <row r="40" spans="1:14" ht="13.5" x14ac:dyDescent="0.25">
      <c r="A40">
        <v>39</v>
      </c>
      <c r="B40" t="s">
        <v>27</v>
      </c>
      <c r="C40" t="s">
        <v>200</v>
      </c>
      <c r="D40" t="s">
        <v>205</v>
      </c>
      <c r="E40" t="s">
        <v>206</v>
      </c>
      <c r="F40" t="s">
        <v>58</v>
      </c>
      <c r="G40" t="s">
        <v>207</v>
      </c>
      <c r="H40" t="s">
        <v>203</v>
      </c>
      <c r="I40" t="s">
        <v>116</v>
      </c>
      <c r="J40">
        <v>6</v>
      </c>
      <c r="K40" t="s">
        <v>1</v>
      </c>
      <c r="L40" t="s">
        <v>1</v>
      </c>
      <c r="M40" s="3">
        <v>0</v>
      </c>
      <c r="N40" t="s">
        <v>1</v>
      </c>
    </row>
    <row r="41" spans="1:14" ht="13.5" x14ac:dyDescent="0.25">
      <c r="A41">
        <v>40</v>
      </c>
      <c r="B41" t="s">
        <v>27</v>
      </c>
      <c r="C41" t="s">
        <v>200</v>
      </c>
      <c r="D41" t="s">
        <v>208</v>
      </c>
      <c r="E41" t="s">
        <v>209</v>
      </c>
      <c r="F41" t="s">
        <v>58</v>
      </c>
      <c r="G41" t="s">
        <v>210</v>
      </c>
      <c r="H41" t="s">
        <v>203</v>
      </c>
      <c r="I41" t="s">
        <v>116</v>
      </c>
      <c r="J41">
        <v>10</v>
      </c>
      <c r="K41" t="s">
        <v>1</v>
      </c>
      <c r="L41" t="s">
        <v>1</v>
      </c>
      <c r="M41" s="3">
        <v>0</v>
      </c>
      <c r="N41" t="s">
        <v>1</v>
      </c>
    </row>
    <row r="42" spans="1:14" ht="13.5" x14ac:dyDescent="0.25">
      <c r="A42">
        <v>41</v>
      </c>
      <c r="B42" t="s">
        <v>27</v>
      </c>
      <c r="C42" t="s">
        <v>200</v>
      </c>
      <c r="D42" t="s">
        <v>211</v>
      </c>
      <c r="E42" t="s">
        <v>212</v>
      </c>
      <c r="F42" t="s">
        <v>52</v>
      </c>
      <c r="G42" t="s">
        <v>213</v>
      </c>
      <c r="H42" t="s">
        <v>203</v>
      </c>
      <c r="I42" t="s">
        <v>116</v>
      </c>
      <c r="J42">
        <v>10</v>
      </c>
      <c r="K42" t="s">
        <v>1</v>
      </c>
      <c r="L42" t="s">
        <v>1</v>
      </c>
      <c r="M42" s="3">
        <v>0</v>
      </c>
      <c r="N42" t="s">
        <v>214</v>
      </c>
    </row>
    <row r="43" spans="1:14" ht="13.5" x14ac:dyDescent="0.25">
      <c r="A43">
        <v>42</v>
      </c>
      <c r="B43" t="s">
        <v>27</v>
      </c>
      <c r="C43" t="s">
        <v>200</v>
      </c>
      <c r="D43" t="s">
        <v>215</v>
      </c>
      <c r="E43" t="s">
        <v>216</v>
      </c>
      <c r="F43" t="s">
        <v>52</v>
      </c>
      <c r="G43" t="s">
        <v>217</v>
      </c>
      <c r="H43" t="s">
        <v>203</v>
      </c>
      <c r="I43" t="s">
        <v>116</v>
      </c>
      <c r="J43">
        <v>6</v>
      </c>
      <c r="K43" t="s">
        <v>1</v>
      </c>
      <c r="L43" t="s">
        <v>1</v>
      </c>
      <c r="M43" s="3">
        <v>0</v>
      </c>
      <c r="N43" t="s">
        <v>218</v>
      </c>
    </row>
    <row r="44" spans="1:14" ht="13.5" x14ac:dyDescent="0.25">
      <c r="A44">
        <v>43</v>
      </c>
      <c r="B44" t="s">
        <v>27</v>
      </c>
      <c r="C44" t="s">
        <v>219</v>
      </c>
      <c r="D44" t="s">
        <v>220</v>
      </c>
      <c r="E44" t="s">
        <v>221</v>
      </c>
      <c r="F44" t="s">
        <v>58</v>
      </c>
      <c r="G44" t="s">
        <v>217</v>
      </c>
      <c r="H44" t="s">
        <v>203</v>
      </c>
      <c r="I44" t="s">
        <v>116</v>
      </c>
      <c r="J44">
        <v>12</v>
      </c>
      <c r="K44" t="s">
        <v>1</v>
      </c>
      <c r="L44" t="s">
        <v>1</v>
      </c>
      <c r="M44" s="3">
        <v>0</v>
      </c>
      <c r="N44" t="s">
        <v>222</v>
      </c>
    </row>
    <row r="45" spans="1:14" ht="13.5" x14ac:dyDescent="0.25">
      <c r="A45">
        <v>44</v>
      </c>
      <c r="B45" t="s">
        <v>28</v>
      </c>
      <c r="C45" t="s">
        <v>223</v>
      </c>
      <c r="D45" t="s">
        <v>224</v>
      </c>
      <c r="E45" t="s">
        <v>225</v>
      </c>
      <c r="F45" t="s">
        <v>52</v>
      </c>
      <c r="G45" t="s">
        <v>192</v>
      </c>
      <c r="H45" t="s">
        <v>182</v>
      </c>
      <c r="I45" t="s">
        <v>11</v>
      </c>
      <c r="J45">
        <v>12</v>
      </c>
      <c r="K45" t="s">
        <v>1</v>
      </c>
      <c r="L45" t="s">
        <v>1</v>
      </c>
      <c r="M45" s="3">
        <v>0.5</v>
      </c>
      <c r="N45" t="s">
        <v>1</v>
      </c>
    </row>
    <row r="46" spans="1:14" ht="13.5" x14ac:dyDescent="0.25">
      <c r="A46">
        <v>45</v>
      </c>
      <c r="B46" t="s">
        <v>28</v>
      </c>
      <c r="C46" t="s">
        <v>223</v>
      </c>
      <c r="D46" t="s">
        <v>226</v>
      </c>
      <c r="E46" t="s">
        <v>227</v>
      </c>
      <c r="F46" t="s">
        <v>52</v>
      </c>
      <c r="G46" t="s">
        <v>228</v>
      </c>
      <c r="H46" t="s">
        <v>182</v>
      </c>
      <c r="I46" t="s">
        <v>11</v>
      </c>
      <c r="J46">
        <v>12</v>
      </c>
      <c r="K46" t="s">
        <v>1</v>
      </c>
      <c r="L46" t="s">
        <v>1</v>
      </c>
      <c r="M46" s="3">
        <v>0.5</v>
      </c>
      <c r="N46" t="s">
        <v>1</v>
      </c>
    </row>
    <row r="47" spans="1:14" ht="13.5" x14ac:dyDescent="0.25">
      <c r="A47">
        <v>46</v>
      </c>
      <c r="B47" t="s">
        <v>28</v>
      </c>
      <c r="C47" t="s">
        <v>223</v>
      </c>
      <c r="D47" t="s">
        <v>229</v>
      </c>
      <c r="E47" t="s">
        <v>230</v>
      </c>
      <c r="F47" t="s">
        <v>58</v>
      </c>
      <c r="G47" t="s">
        <v>231</v>
      </c>
      <c r="H47" t="s">
        <v>182</v>
      </c>
      <c r="I47" t="s">
        <v>116</v>
      </c>
      <c r="J47">
        <v>12</v>
      </c>
      <c r="K47" t="s">
        <v>1</v>
      </c>
      <c r="L47" t="s">
        <v>1</v>
      </c>
      <c r="M47" s="3">
        <v>0</v>
      </c>
      <c r="N47" t="s">
        <v>1</v>
      </c>
    </row>
    <row r="48" spans="1:14" ht="13.5" x14ac:dyDescent="0.25">
      <c r="A48">
        <v>47</v>
      </c>
      <c r="B48" t="s">
        <v>28</v>
      </c>
      <c r="C48" t="s">
        <v>223</v>
      </c>
      <c r="D48" t="s">
        <v>232</v>
      </c>
      <c r="E48" t="s">
        <v>233</v>
      </c>
      <c r="F48" t="s">
        <v>58</v>
      </c>
      <c r="G48" t="s">
        <v>228</v>
      </c>
      <c r="H48" t="s">
        <v>182</v>
      </c>
      <c r="I48" t="s">
        <v>116</v>
      </c>
      <c r="J48">
        <v>10</v>
      </c>
      <c r="K48" t="s">
        <v>1</v>
      </c>
      <c r="L48" t="s">
        <v>1</v>
      </c>
      <c r="M48" s="3">
        <v>0</v>
      </c>
      <c r="N48" t="s">
        <v>1</v>
      </c>
    </row>
    <row r="49" spans="1:14" ht="13.5" x14ac:dyDescent="0.25">
      <c r="A49">
        <v>48</v>
      </c>
      <c r="B49" t="s">
        <v>28</v>
      </c>
      <c r="C49" t="s">
        <v>234</v>
      </c>
      <c r="D49" t="s">
        <v>235</v>
      </c>
      <c r="E49" t="s">
        <v>225</v>
      </c>
      <c r="F49" t="s">
        <v>52</v>
      </c>
      <c r="G49" t="s">
        <v>228</v>
      </c>
      <c r="H49" t="s">
        <v>182</v>
      </c>
      <c r="I49" t="s">
        <v>11</v>
      </c>
      <c r="J49">
        <v>10</v>
      </c>
      <c r="K49" t="s">
        <v>1</v>
      </c>
      <c r="L49" t="s">
        <v>1</v>
      </c>
      <c r="M49" s="3">
        <v>0.5</v>
      </c>
      <c r="N49" t="s">
        <v>1</v>
      </c>
    </row>
    <row r="50" spans="1:14" ht="13.5" x14ac:dyDescent="0.25">
      <c r="A50">
        <v>49</v>
      </c>
      <c r="B50" t="s">
        <v>28</v>
      </c>
      <c r="C50" t="s">
        <v>234</v>
      </c>
      <c r="D50" t="s">
        <v>236</v>
      </c>
      <c r="E50" t="s">
        <v>225</v>
      </c>
      <c r="F50" t="s">
        <v>52</v>
      </c>
      <c r="G50" t="s">
        <v>237</v>
      </c>
      <c r="H50" t="s">
        <v>182</v>
      </c>
      <c r="I50" t="s">
        <v>11</v>
      </c>
      <c r="J50">
        <v>10</v>
      </c>
      <c r="K50" t="s">
        <v>1</v>
      </c>
      <c r="L50" t="s">
        <v>1</v>
      </c>
      <c r="M50" s="3">
        <v>0.5</v>
      </c>
      <c r="N50" t="s">
        <v>1</v>
      </c>
    </row>
    <row r="51" spans="1:14" ht="13.5" x14ac:dyDescent="0.25">
      <c r="A51">
        <v>50</v>
      </c>
      <c r="B51" t="s">
        <v>28</v>
      </c>
      <c r="C51" t="s">
        <v>234</v>
      </c>
      <c r="D51" t="s">
        <v>238</v>
      </c>
      <c r="E51" t="s">
        <v>239</v>
      </c>
      <c r="F51" t="s">
        <v>58</v>
      </c>
      <c r="G51" t="s">
        <v>240</v>
      </c>
      <c r="H51" t="s">
        <v>182</v>
      </c>
      <c r="I51" t="s">
        <v>116</v>
      </c>
      <c r="J51">
        <v>10</v>
      </c>
      <c r="K51" t="s">
        <v>1</v>
      </c>
      <c r="L51" t="s">
        <v>1</v>
      </c>
      <c r="M51" s="3">
        <v>0</v>
      </c>
      <c r="N51" t="s">
        <v>1</v>
      </c>
    </row>
    <row r="52" spans="1:14" ht="13.5" x14ac:dyDescent="0.25">
      <c r="A52">
        <v>51</v>
      </c>
      <c r="B52" t="s">
        <v>28</v>
      </c>
      <c r="C52" t="s">
        <v>241</v>
      </c>
      <c r="D52" t="s">
        <v>242</v>
      </c>
      <c r="E52" t="s">
        <v>227</v>
      </c>
      <c r="F52" t="s">
        <v>74</v>
      </c>
      <c r="G52" t="s">
        <v>228</v>
      </c>
      <c r="H52" t="s">
        <v>182</v>
      </c>
      <c r="I52" t="s">
        <v>116</v>
      </c>
      <c r="J52">
        <v>10</v>
      </c>
      <c r="K52" t="s">
        <v>1</v>
      </c>
      <c r="L52" t="s">
        <v>1</v>
      </c>
      <c r="M52" s="3">
        <v>0</v>
      </c>
      <c r="N52" t="s">
        <v>1</v>
      </c>
    </row>
    <row r="53" spans="1:14" ht="13.5" x14ac:dyDescent="0.25">
      <c r="A53">
        <v>52</v>
      </c>
      <c r="B53" t="s">
        <v>28</v>
      </c>
      <c r="C53" t="s">
        <v>30</v>
      </c>
      <c r="D53" t="s">
        <v>243</v>
      </c>
      <c r="E53" t="s">
        <v>244</v>
      </c>
      <c r="F53" t="s">
        <v>58</v>
      </c>
      <c r="G53" t="s">
        <v>245</v>
      </c>
      <c r="H53" t="s">
        <v>182</v>
      </c>
      <c r="I53" t="s">
        <v>116</v>
      </c>
      <c r="J53">
        <v>12</v>
      </c>
      <c r="K53" t="s">
        <v>1</v>
      </c>
      <c r="L53" t="s">
        <v>1</v>
      </c>
      <c r="M53" s="3">
        <v>0</v>
      </c>
      <c r="N53" t="s">
        <v>246</v>
      </c>
    </row>
    <row r="54" spans="1:14" ht="13.5" x14ac:dyDescent="0.25">
      <c r="A54">
        <v>53</v>
      </c>
      <c r="B54" t="s">
        <v>28</v>
      </c>
      <c r="C54" t="s">
        <v>247</v>
      </c>
      <c r="D54" t="s">
        <v>248</v>
      </c>
      <c r="E54" t="s">
        <v>249</v>
      </c>
      <c r="F54" t="s">
        <v>52</v>
      </c>
      <c r="G54" t="s">
        <v>250</v>
      </c>
      <c r="H54" t="s">
        <v>182</v>
      </c>
      <c r="I54" t="s">
        <v>11</v>
      </c>
      <c r="J54">
        <v>16</v>
      </c>
      <c r="K54" t="s">
        <v>1</v>
      </c>
      <c r="L54" t="s">
        <v>1</v>
      </c>
      <c r="M54" s="3">
        <v>0.5</v>
      </c>
      <c r="N54" t="s">
        <v>251</v>
      </c>
    </row>
    <row r="55" spans="1:14" ht="13.5" x14ac:dyDescent="0.25">
      <c r="A55">
        <v>54</v>
      </c>
      <c r="B55" t="s">
        <v>28</v>
      </c>
      <c r="C55" t="s">
        <v>247</v>
      </c>
      <c r="D55" t="s">
        <v>252</v>
      </c>
      <c r="E55" t="s">
        <v>253</v>
      </c>
      <c r="F55" t="s">
        <v>52</v>
      </c>
      <c r="G55" t="s">
        <v>254</v>
      </c>
      <c r="H55" t="s">
        <v>182</v>
      </c>
      <c r="I55" t="s">
        <v>11</v>
      </c>
      <c r="J55">
        <v>12</v>
      </c>
      <c r="K55" t="s">
        <v>1</v>
      </c>
      <c r="L55" t="s">
        <v>1</v>
      </c>
      <c r="M55" s="3">
        <v>0.5</v>
      </c>
      <c r="N55" t="s">
        <v>1</v>
      </c>
    </row>
    <row r="56" spans="1:14" ht="13.5" x14ac:dyDescent="0.25">
      <c r="A56">
        <v>55</v>
      </c>
      <c r="B56" t="s">
        <v>28</v>
      </c>
      <c r="C56" t="s">
        <v>255</v>
      </c>
      <c r="D56" t="s">
        <v>256</v>
      </c>
      <c r="E56" t="s">
        <v>257</v>
      </c>
      <c r="F56" t="s">
        <v>58</v>
      </c>
      <c r="G56" t="s">
        <v>258</v>
      </c>
      <c r="H56" t="s">
        <v>182</v>
      </c>
      <c r="I56" t="s">
        <v>116</v>
      </c>
      <c r="J56">
        <v>16</v>
      </c>
      <c r="K56" t="s">
        <v>1</v>
      </c>
      <c r="L56" t="s">
        <v>1</v>
      </c>
      <c r="M56" s="3">
        <v>0</v>
      </c>
      <c r="N56" t="s">
        <v>259</v>
      </c>
    </row>
    <row r="57" spans="1:14" ht="13.5" x14ac:dyDescent="0.25">
      <c r="A57">
        <v>56</v>
      </c>
      <c r="B57" t="s">
        <v>28</v>
      </c>
      <c r="C57" t="s">
        <v>260</v>
      </c>
      <c r="D57" t="s">
        <v>261</v>
      </c>
      <c r="E57" t="s">
        <v>262</v>
      </c>
      <c r="F57" t="s">
        <v>58</v>
      </c>
      <c r="G57" t="s">
        <v>240</v>
      </c>
      <c r="H57" t="s">
        <v>182</v>
      </c>
      <c r="I57" t="s">
        <v>116</v>
      </c>
      <c r="J57">
        <v>16</v>
      </c>
      <c r="K57" t="s">
        <v>1</v>
      </c>
      <c r="L57" t="s">
        <v>1</v>
      </c>
      <c r="M57" s="3">
        <v>0</v>
      </c>
      <c r="N57" t="s">
        <v>1</v>
      </c>
    </row>
    <row r="58" spans="1:14" ht="13.5" x14ac:dyDescent="0.25">
      <c r="A58">
        <v>57</v>
      </c>
      <c r="B58" t="s">
        <v>28</v>
      </c>
      <c r="C58" t="s">
        <v>260</v>
      </c>
      <c r="D58" t="s">
        <v>263</v>
      </c>
      <c r="E58" t="s">
        <v>262</v>
      </c>
      <c r="F58" t="s">
        <v>58</v>
      </c>
      <c r="G58" t="s">
        <v>240</v>
      </c>
      <c r="H58" t="s">
        <v>182</v>
      </c>
      <c r="I58" t="s">
        <v>116</v>
      </c>
      <c r="J58">
        <v>16</v>
      </c>
      <c r="K58" t="s">
        <v>1</v>
      </c>
      <c r="L58" t="s">
        <v>1</v>
      </c>
      <c r="M58" s="3">
        <v>0</v>
      </c>
      <c r="N58" t="s">
        <v>1</v>
      </c>
    </row>
    <row r="59" spans="1:14" ht="13.5" x14ac:dyDescent="0.25">
      <c r="A59">
        <v>58</v>
      </c>
      <c r="B59" t="s">
        <v>28</v>
      </c>
      <c r="C59" t="s">
        <v>264</v>
      </c>
      <c r="D59" t="s">
        <v>265</v>
      </c>
      <c r="E59" t="s">
        <v>266</v>
      </c>
      <c r="F59" t="s">
        <v>74</v>
      </c>
      <c r="G59" t="s">
        <v>240</v>
      </c>
      <c r="H59" t="s">
        <v>182</v>
      </c>
      <c r="I59" t="s">
        <v>116</v>
      </c>
      <c r="J59">
        <v>20</v>
      </c>
      <c r="K59" t="s">
        <v>1</v>
      </c>
      <c r="L59" t="s">
        <v>1</v>
      </c>
      <c r="M59" s="3">
        <v>0</v>
      </c>
      <c r="N59" t="s">
        <v>1</v>
      </c>
    </row>
    <row r="60" spans="1:14" ht="13.5" x14ac:dyDescent="0.25">
      <c r="A60">
        <v>59</v>
      </c>
      <c r="B60" t="s">
        <v>28</v>
      </c>
      <c r="C60" t="s">
        <v>267</v>
      </c>
      <c r="D60" t="s">
        <v>268</v>
      </c>
      <c r="E60" t="s">
        <v>269</v>
      </c>
      <c r="F60" t="s">
        <v>58</v>
      </c>
      <c r="G60" t="s">
        <v>270</v>
      </c>
      <c r="H60" t="s">
        <v>182</v>
      </c>
      <c r="I60" t="s">
        <v>116</v>
      </c>
      <c r="J60">
        <v>24</v>
      </c>
      <c r="K60" t="s">
        <v>1</v>
      </c>
      <c r="L60" t="s">
        <v>1</v>
      </c>
      <c r="M60" s="3">
        <v>0</v>
      </c>
      <c r="N60" t="s">
        <v>271</v>
      </c>
    </row>
    <row r="61" spans="1:14" ht="13.5" x14ac:dyDescent="0.25">
      <c r="A61">
        <v>60</v>
      </c>
      <c r="B61" t="s">
        <v>29</v>
      </c>
      <c r="C61" t="s">
        <v>272</v>
      </c>
      <c r="D61" t="s">
        <v>273</v>
      </c>
      <c r="E61" t="s">
        <v>274</v>
      </c>
      <c r="F61" t="s">
        <v>52</v>
      </c>
      <c r="G61" t="s">
        <v>275</v>
      </c>
      <c r="H61" t="s">
        <v>276</v>
      </c>
      <c r="I61" t="s">
        <v>11</v>
      </c>
      <c r="J61">
        <v>14</v>
      </c>
      <c r="K61" t="s">
        <v>1</v>
      </c>
      <c r="L61" t="s">
        <v>1</v>
      </c>
      <c r="M61" s="3">
        <v>0.5</v>
      </c>
      <c r="N61" t="s">
        <v>1</v>
      </c>
    </row>
    <row r="62" spans="1:14" ht="13.5" x14ac:dyDescent="0.25">
      <c r="A62">
        <v>61</v>
      </c>
      <c r="B62" t="s">
        <v>29</v>
      </c>
      <c r="C62" t="s">
        <v>277</v>
      </c>
      <c r="D62" t="s">
        <v>278</v>
      </c>
      <c r="E62" t="s">
        <v>279</v>
      </c>
      <c r="F62" t="s">
        <v>52</v>
      </c>
      <c r="G62" t="s">
        <v>280</v>
      </c>
      <c r="H62" t="s">
        <v>276</v>
      </c>
      <c r="I62" t="s">
        <v>11</v>
      </c>
      <c r="J62">
        <v>12</v>
      </c>
      <c r="K62" t="s">
        <v>1</v>
      </c>
      <c r="L62" t="s">
        <v>1</v>
      </c>
      <c r="M62" s="3">
        <v>0.5</v>
      </c>
      <c r="N62" t="s">
        <v>281</v>
      </c>
    </row>
    <row r="63" spans="1:14" ht="13.5" x14ac:dyDescent="0.25">
      <c r="A63">
        <v>62</v>
      </c>
      <c r="B63" t="s">
        <v>29</v>
      </c>
      <c r="C63" t="s">
        <v>223</v>
      </c>
      <c r="D63" t="s">
        <v>282</v>
      </c>
      <c r="E63" t="s">
        <v>283</v>
      </c>
      <c r="F63" t="s">
        <v>52</v>
      </c>
      <c r="G63" t="s">
        <v>284</v>
      </c>
      <c r="H63" t="s">
        <v>276</v>
      </c>
      <c r="I63" t="s">
        <v>11</v>
      </c>
      <c r="J63">
        <v>16</v>
      </c>
      <c r="K63" t="s">
        <v>1</v>
      </c>
      <c r="L63" t="s">
        <v>1</v>
      </c>
      <c r="M63" s="3">
        <v>0.5</v>
      </c>
      <c r="N63" t="s">
        <v>1</v>
      </c>
    </row>
    <row r="64" spans="1:14" ht="13.5" x14ac:dyDescent="0.25">
      <c r="A64">
        <v>63</v>
      </c>
      <c r="B64" t="s">
        <v>29</v>
      </c>
      <c r="C64" t="s">
        <v>234</v>
      </c>
      <c r="D64" t="s">
        <v>285</v>
      </c>
      <c r="E64" t="s">
        <v>286</v>
      </c>
      <c r="F64" t="s">
        <v>52</v>
      </c>
      <c r="G64" t="s">
        <v>287</v>
      </c>
      <c r="H64" t="s">
        <v>276</v>
      </c>
      <c r="I64" t="s">
        <v>11</v>
      </c>
      <c r="J64">
        <v>18</v>
      </c>
      <c r="K64" t="s">
        <v>1</v>
      </c>
      <c r="L64" t="s">
        <v>1</v>
      </c>
      <c r="M64" s="3">
        <v>0.5</v>
      </c>
      <c r="N64" t="s">
        <v>288</v>
      </c>
    </row>
    <row r="65" spans="1:14" ht="13.5" x14ac:dyDescent="0.25">
      <c r="A65">
        <v>64</v>
      </c>
      <c r="B65" t="s">
        <v>29</v>
      </c>
      <c r="C65" t="s">
        <v>241</v>
      </c>
      <c r="D65" t="s">
        <v>289</v>
      </c>
      <c r="E65" t="s">
        <v>290</v>
      </c>
      <c r="F65" t="s">
        <v>58</v>
      </c>
      <c r="G65" t="s">
        <v>291</v>
      </c>
      <c r="H65" t="s">
        <v>276</v>
      </c>
      <c r="I65" t="s">
        <v>11</v>
      </c>
      <c r="J65">
        <v>12</v>
      </c>
      <c r="K65" t="s">
        <v>1</v>
      </c>
      <c r="L65" t="s">
        <v>1</v>
      </c>
      <c r="M65" s="3">
        <v>0.5</v>
      </c>
      <c r="N65" t="s">
        <v>1</v>
      </c>
    </row>
    <row r="66" spans="1:14" ht="13.5" x14ac:dyDescent="0.25">
      <c r="A66">
        <v>65</v>
      </c>
      <c r="B66" t="s">
        <v>29</v>
      </c>
      <c r="C66" t="s">
        <v>292</v>
      </c>
      <c r="D66" t="s">
        <v>293</v>
      </c>
      <c r="E66" t="s">
        <v>290</v>
      </c>
      <c r="F66" t="s">
        <v>58</v>
      </c>
      <c r="G66" t="s">
        <v>294</v>
      </c>
      <c r="H66" t="s">
        <v>276</v>
      </c>
      <c r="I66" t="s">
        <v>11</v>
      </c>
      <c r="J66">
        <v>20</v>
      </c>
      <c r="K66" t="s">
        <v>1</v>
      </c>
      <c r="L66" t="s">
        <v>1</v>
      </c>
      <c r="M66" s="3">
        <v>0.5</v>
      </c>
      <c r="N66" t="s">
        <v>295</v>
      </c>
    </row>
    <row r="67" spans="1:14" ht="13.5" x14ac:dyDescent="0.25">
      <c r="A67">
        <v>66</v>
      </c>
      <c r="B67" t="s">
        <v>29</v>
      </c>
      <c r="C67" t="s">
        <v>296</v>
      </c>
      <c r="D67" t="s">
        <v>297</v>
      </c>
      <c r="E67" t="s">
        <v>298</v>
      </c>
      <c r="F67" t="s">
        <v>58</v>
      </c>
      <c r="G67" t="s">
        <v>299</v>
      </c>
      <c r="H67" t="s">
        <v>276</v>
      </c>
      <c r="I67" t="s">
        <v>11</v>
      </c>
      <c r="J67">
        <v>16</v>
      </c>
      <c r="K67" t="s">
        <v>1</v>
      </c>
      <c r="L67" t="s">
        <v>1</v>
      </c>
      <c r="M67" s="3">
        <v>0.5</v>
      </c>
      <c r="N67" t="s">
        <v>300</v>
      </c>
    </row>
    <row r="68" spans="1:14" ht="13.5" x14ac:dyDescent="0.25">
      <c r="A68">
        <v>67</v>
      </c>
      <c r="B68" t="s">
        <v>29</v>
      </c>
      <c r="C68" t="s">
        <v>247</v>
      </c>
      <c r="D68" t="s">
        <v>301</v>
      </c>
      <c r="E68" t="s">
        <v>298</v>
      </c>
      <c r="F68" t="s">
        <v>52</v>
      </c>
      <c r="G68" t="s">
        <v>302</v>
      </c>
      <c r="H68" t="s">
        <v>276</v>
      </c>
      <c r="I68" t="s">
        <v>11</v>
      </c>
      <c r="J68">
        <v>18</v>
      </c>
      <c r="K68" t="s">
        <v>1</v>
      </c>
      <c r="L68" t="s">
        <v>1</v>
      </c>
      <c r="M68" s="3">
        <v>0.5</v>
      </c>
      <c r="N68" t="s">
        <v>1</v>
      </c>
    </row>
    <row r="69" spans="1:14" ht="13.5" x14ac:dyDescent="0.25">
      <c r="A69">
        <v>68</v>
      </c>
      <c r="B69" t="s">
        <v>29</v>
      </c>
      <c r="C69" t="s">
        <v>247</v>
      </c>
      <c r="D69" t="s">
        <v>303</v>
      </c>
      <c r="E69" t="s">
        <v>298</v>
      </c>
      <c r="F69" t="s">
        <v>52</v>
      </c>
      <c r="G69" t="s">
        <v>304</v>
      </c>
      <c r="H69" t="s">
        <v>276</v>
      </c>
      <c r="I69" t="s">
        <v>11</v>
      </c>
      <c r="J69">
        <v>12</v>
      </c>
      <c r="K69" t="s">
        <v>1</v>
      </c>
      <c r="L69" t="s">
        <v>1</v>
      </c>
      <c r="M69" s="3">
        <v>0.5</v>
      </c>
      <c r="N69" t="s">
        <v>1</v>
      </c>
    </row>
    <row r="70" spans="1:14" ht="13.5" x14ac:dyDescent="0.25">
      <c r="A70">
        <v>69</v>
      </c>
      <c r="B70" t="s">
        <v>29</v>
      </c>
      <c r="C70" t="s">
        <v>260</v>
      </c>
      <c r="D70" t="s">
        <v>305</v>
      </c>
      <c r="E70" t="s">
        <v>298</v>
      </c>
      <c r="F70" t="s">
        <v>58</v>
      </c>
      <c r="G70" t="s">
        <v>306</v>
      </c>
      <c r="H70" t="s">
        <v>276</v>
      </c>
      <c r="I70" t="s">
        <v>11</v>
      </c>
      <c r="J70">
        <v>18</v>
      </c>
      <c r="K70" t="s">
        <v>1</v>
      </c>
      <c r="L70" t="s">
        <v>1</v>
      </c>
      <c r="M70" s="3">
        <v>0.5</v>
      </c>
      <c r="N70" t="s">
        <v>1</v>
      </c>
    </row>
    <row r="71" spans="1:14" ht="13.5" x14ac:dyDescent="0.25">
      <c r="A71">
        <v>70</v>
      </c>
      <c r="B71" t="s">
        <v>29</v>
      </c>
      <c r="C71" t="s">
        <v>260</v>
      </c>
      <c r="D71" t="s">
        <v>307</v>
      </c>
      <c r="E71" t="s">
        <v>298</v>
      </c>
      <c r="F71" t="s">
        <v>58</v>
      </c>
      <c r="G71" t="s">
        <v>308</v>
      </c>
      <c r="H71" t="s">
        <v>276</v>
      </c>
      <c r="I71" t="s">
        <v>11</v>
      </c>
      <c r="J71">
        <v>20</v>
      </c>
      <c r="K71" t="s">
        <v>1</v>
      </c>
      <c r="L71" t="s">
        <v>1</v>
      </c>
      <c r="M71" s="3">
        <v>0.5</v>
      </c>
      <c r="N71" t="s">
        <v>1</v>
      </c>
    </row>
    <row r="72" spans="1:14" ht="13.5" x14ac:dyDescent="0.25">
      <c r="A72">
        <v>71</v>
      </c>
      <c r="B72" t="s">
        <v>29</v>
      </c>
      <c r="C72" t="s">
        <v>255</v>
      </c>
      <c r="D72" t="s">
        <v>256</v>
      </c>
      <c r="E72" t="s">
        <v>298</v>
      </c>
      <c r="F72" t="s">
        <v>74</v>
      </c>
      <c r="G72" t="s">
        <v>309</v>
      </c>
      <c r="H72" t="s">
        <v>276</v>
      </c>
      <c r="I72" t="s">
        <v>116</v>
      </c>
      <c r="J72">
        <v>18</v>
      </c>
      <c r="K72" t="s">
        <v>1</v>
      </c>
      <c r="L72" t="s">
        <v>1</v>
      </c>
      <c r="M72" s="3">
        <v>0</v>
      </c>
      <c r="N72" t="s">
        <v>1</v>
      </c>
    </row>
    <row r="73" spans="1:14" ht="13.5" x14ac:dyDescent="0.25">
      <c r="A73">
        <v>72</v>
      </c>
      <c r="B73" t="s">
        <v>29</v>
      </c>
      <c r="C73" t="s">
        <v>264</v>
      </c>
      <c r="D73" t="s">
        <v>310</v>
      </c>
      <c r="E73" t="s">
        <v>298</v>
      </c>
      <c r="F73" t="s">
        <v>74</v>
      </c>
      <c r="G73" t="s">
        <v>311</v>
      </c>
      <c r="H73" t="s">
        <v>276</v>
      </c>
      <c r="I73" t="s">
        <v>116</v>
      </c>
      <c r="J73">
        <v>16</v>
      </c>
      <c r="K73" t="s">
        <v>1</v>
      </c>
      <c r="L73" t="s">
        <v>1</v>
      </c>
      <c r="M73" s="3">
        <v>0</v>
      </c>
      <c r="N73" t="s">
        <v>1</v>
      </c>
    </row>
    <row r="74" spans="1:14" ht="13.5" x14ac:dyDescent="0.25">
      <c r="A74">
        <v>73</v>
      </c>
      <c r="B74" t="s">
        <v>29</v>
      </c>
      <c r="C74" t="s">
        <v>312</v>
      </c>
      <c r="D74" t="s">
        <v>313</v>
      </c>
      <c r="E74" t="s">
        <v>314</v>
      </c>
      <c r="F74" t="s">
        <v>58</v>
      </c>
      <c r="G74" t="s">
        <v>315</v>
      </c>
      <c r="H74" t="s">
        <v>276</v>
      </c>
      <c r="I74" t="s">
        <v>116</v>
      </c>
      <c r="J74">
        <v>16</v>
      </c>
      <c r="K74" t="s">
        <v>1</v>
      </c>
      <c r="L74" t="s">
        <v>1</v>
      </c>
      <c r="M74" s="3">
        <v>0</v>
      </c>
      <c r="N74" t="s">
        <v>1</v>
      </c>
    </row>
    <row r="75" spans="1:14" ht="13.5" x14ac:dyDescent="0.25">
      <c r="A75">
        <v>74</v>
      </c>
      <c r="B75" t="s">
        <v>29</v>
      </c>
      <c r="C75" t="s">
        <v>316</v>
      </c>
      <c r="D75" t="s">
        <v>317</v>
      </c>
      <c r="E75" t="s">
        <v>318</v>
      </c>
      <c r="F75" t="s">
        <v>58</v>
      </c>
      <c r="G75" t="s">
        <v>319</v>
      </c>
      <c r="H75" t="s">
        <v>276</v>
      </c>
      <c r="I75" t="s">
        <v>116</v>
      </c>
      <c r="J75">
        <v>20</v>
      </c>
      <c r="K75" t="s">
        <v>1</v>
      </c>
      <c r="L75" t="s">
        <v>1</v>
      </c>
      <c r="M75" s="3">
        <v>0</v>
      </c>
      <c r="N75" t="s">
        <v>1</v>
      </c>
    </row>
    <row r="76" spans="1:14" ht="13.5" x14ac:dyDescent="0.25">
      <c r="A76">
        <v>75</v>
      </c>
      <c r="B76" t="s">
        <v>29</v>
      </c>
      <c r="C76" t="s">
        <v>320</v>
      </c>
      <c r="D76" t="s">
        <v>321</v>
      </c>
      <c r="E76" t="s">
        <v>322</v>
      </c>
      <c r="F76" t="s">
        <v>58</v>
      </c>
      <c r="G76" t="s">
        <v>323</v>
      </c>
      <c r="H76" t="s">
        <v>276</v>
      </c>
      <c r="I76" t="s">
        <v>116</v>
      </c>
      <c r="J76">
        <v>16</v>
      </c>
      <c r="K76" t="s">
        <v>1</v>
      </c>
      <c r="L76" t="s">
        <v>1</v>
      </c>
      <c r="M76" s="3">
        <v>0</v>
      </c>
      <c r="N76" t="s">
        <v>1</v>
      </c>
    </row>
    <row r="77" spans="1:14" ht="13.5" x14ac:dyDescent="0.25">
      <c r="A77">
        <v>76</v>
      </c>
      <c r="B77" t="s">
        <v>30</v>
      </c>
      <c r="C77" t="s">
        <v>324</v>
      </c>
      <c r="D77" t="s">
        <v>325</v>
      </c>
      <c r="E77" t="s">
        <v>326</v>
      </c>
      <c r="F77" t="s">
        <v>58</v>
      </c>
      <c r="G77" t="s">
        <v>327</v>
      </c>
      <c r="H77" t="s">
        <v>65</v>
      </c>
      <c r="I77" t="s">
        <v>116</v>
      </c>
      <c r="J77">
        <v>12</v>
      </c>
      <c r="K77" t="s">
        <v>1</v>
      </c>
      <c r="L77" t="s">
        <v>1</v>
      </c>
      <c r="M77" s="3">
        <v>0</v>
      </c>
      <c r="N77" t="s">
        <v>328</v>
      </c>
    </row>
    <row r="78" spans="1:14" ht="13.5" x14ac:dyDescent="0.25">
      <c r="A78">
        <v>77</v>
      </c>
      <c r="B78" t="s">
        <v>30</v>
      </c>
      <c r="C78" t="s">
        <v>329</v>
      </c>
      <c r="D78" t="s">
        <v>330</v>
      </c>
      <c r="E78" t="s">
        <v>331</v>
      </c>
      <c r="F78" t="s">
        <v>52</v>
      </c>
      <c r="G78" t="s">
        <v>332</v>
      </c>
      <c r="H78" t="s">
        <v>65</v>
      </c>
      <c r="I78" t="s">
        <v>116</v>
      </c>
      <c r="J78">
        <v>20</v>
      </c>
      <c r="K78" t="s">
        <v>1</v>
      </c>
      <c r="L78" t="s">
        <v>1</v>
      </c>
      <c r="M78" s="3">
        <v>0</v>
      </c>
      <c r="N78" t="s">
        <v>333</v>
      </c>
    </row>
    <row r="79" spans="1:14" ht="13.5" x14ac:dyDescent="0.25">
      <c r="A79">
        <v>78</v>
      </c>
      <c r="B79" t="s">
        <v>31</v>
      </c>
      <c r="C79" t="s">
        <v>260</v>
      </c>
      <c r="D79" t="s">
        <v>334</v>
      </c>
      <c r="E79" t="s">
        <v>335</v>
      </c>
      <c r="F79" t="s">
        <v>52</v>
      </c>
      <c r="G79" t="s">
        <v>336</v>
      </c>
      <c r="H79" t="s">
        <v>31</v>
      </c>
      <c r="I79" t="s">
        <v>116</v>
      </c>
      <c r="J79">
        <v>8</v>
      </c>
      <c r="K79" t="s">
        <v>1</v>
      </c>
      <c r="L79" t="s">
        <v>1</v>
      </c>
      <c r="M79" s="3">
        <v>0</v>
      </c>
      <c r="N79" t="s">
        <v>1</v>
      </c>
    </row>
    <row r="80" spans="1:14" ht="13.5" x14ac:dyDescent="0.25">
      <c r="A80">
        <v>79</v>
      </c>
      <c r="B80" t="s">
        <v>31</v>
      </c>
      <c r="C80" t="s">
        <v>28</v>
      </c>
      <c r="D80" t="s">
        <v>337</v>
      </c>
      <c r="E80" t="s">
        <v>338</v>
      </c>
      <c r="F80" t="s">
        <v>58</v>
      </c>
      <c r="G80" t="s">
        <v>339</v>
      </c>
      <c r="H80" t="s">
        <v>31</v>
      </c>
      <c r="I80" t="s">
        <v>116</v>
      </c>
      <c r="J80">
        <v>30</v>
      </c>
      <c r="K80" t="s">
        <v>1</v>
      </c>
      <c r="L80" t="s">
        <v>1</v>
      </c>
      <c r="M80" s="3">
        <v>0</v>
      </c>
      <c r="N80" t="s">
        <v>340</v>
      </c>
    </row>
    <row r="81" spans="1:14" ht="13.5" x14ac:dyDescent="0.25">
      <c r="A81">
        <v>80</v>
      </c>
      <c r="B81" t="s">
        <v>31</v>
      </c>
      <c r="C81" t="s">
        <v>29</v>
      </c>
      <c r="D81" t="s">
        <v>341</v>
      </c>
      <c r="E81" t="s">
        <v>338</v>
      </c>
      <c r="F81" t="s">
        <v>58</v>
      </c>
      <c r="G81" t="s">
        <v>342</v>
      </c>
      <c r="H81" t="s">
        <v>31</v>
      </c>
      <c r="I81" t="s">
        <v>116</v>
      </c>
      <c r="J81">
        <v>30</v>
      </c>
      <c r="K81" t="s">
        <v>1</v>
      </c>
      <c r="L81" t="s">
        <v>1</v>
      </c>
      <c r="M81" s="3">
        <v>0</v>
      </c>
      <c r="N81" t="s">
        <v>1</v>
      </c>
    </row>
    <row r="82" spans="1:14" ht="13.5" x14ac:dyDescent="0.25">
      <c r="A82">
        <v>81</v>
      </c>
      <c r="B82" t="s">
        <v>31</v>
      </c>
      <c r="C82" t="s">
        <v>343</v>
      </c>
      <c r="D82" t="s">
        <v>344</v>
      </c>
      <c r="E82" t="s">
        <v>338</v>
      </c>
      <c r="F82" t="s">
        <v>52</v>
      </c>
      <c r="G82" t="s">
        <v>345</v>
      </c>
      <c r="H82" t="s">
        <v>31</v>
      </c>
      <c r="I82" t="s">
        <v>116</v>
      </c>
      <c r="J82">
        <v>24</v>
      </c>
      <c r="K82" t="s">
        <v>1</v>
      </c>
      <c r="L82" t="s">
        <v>1</v>
      </c>
      <c r="M82" s="3">
        <v>0</v>
      </c>
      <c r="N82" t="s">
        <v>346</v>
      </c>
    </row>
    <row r="83" spans="1:14" ht="13.5" x14ac:dyDescent="0.25">
      <c r="A83">
        <v>82</v>
      </c>
      <c r="B83" t="s">
        <v>31</v>
      </c>
      <c r="C83" t="s">
        <v>347</v>
      </c>
      <c r="D83" t="s">
        <v>348</v>
      </c>
      <c r="E83" t="s">
        <v>349</v>
      </c>
      <c r="F83" t="s">
        <v>52</v>
      </c>
      <c r="G83" t="s">
        <v>350</v>
      </c>
      <c r="H83" t="s">
        <v>31</v>
      </c>
      <c r="I83" t="s">
        <v>116</v>
      </c>
      <c r="J83">
        <v>32</v>
      </c>
      <c r="K83" t="s">
        <v>1</v>
      </c>
      <c r="L83" t="s">
        <v>1</v>
      </c>
      <c r="M83" s="3">
        <v>0</v>
      </c>
      <c r="N83" t="s">
        <v>351</v>
      </c>
    </row>
    <row r="84" spans="1:14" ht="13.5" x14ac:dyDescent="0.25">
      <c r="A84">
        <v>83</v>
      </c>
      <c r="B84" t="s">
        <v>31</v>
      </c>
      <c r="C84" t="s">
        <v>189</v>
      </c>
      <c r="D84" t="s">
        <v>352</v>
      </c>
      <c r="E84" t="s">
        <v>353</v>
      </c>
      <c r="F84" t="s">
        <v>52</v>
      </c>
      <c r="G84" t="s">
        <v>354</v>
      </c>
      <c r="H84" t="s">
        <v>31</v>
      </c>
      <c r="I84" t="s">
        <v>116</v>
      </c>
      <c r="J84">
        <v>12</v>
      </c>
      <c r="K84" t="s">
        <v>1</v>
      </c>
      <c r="L84" t="s">
        <v>1</v>
      </c>
      <c r="M84" s="3">
        <v>0</v>
      </c>
      <c r="N84" t="s">
        <v>355</v>
      </c>
    </row>
    <row r="85" spans="1:14" ht="13.5" x14ac:dyDescent="0.25">
      <c r="A85">
        <v>84</v>
      </c>
      <c r="B85" t="s">
        <v>31</v>
      </c>
      <c r="C85" t="s">
        <v>189</v>
      </c>
      <c r="D85" t="s">
        <v>356</v>
      </c>
      <c r="E85" t="s">
        <v>353</v>
      </c>
      <c r="F85" t="s">
        <v>52</v>
      </c>
      <c r="G85" t="s">
        <v>357</v>
      </c>
      <c r="H85" t="s">
        <v>31</v>
      </c>
      <c r="I85" t="s">
        <v>116</v>
      </c>
      <c r="J85">
        <v>20</v>
      </c>
      <c r="K85" t="s">
        <v>1</v>
      </c>
      <c r="L85" t="s">
        <v>1</v>
      </c>
      <c r="M85" s="3">
        <v>0</v>
      </c>
      <c r="N85" t="s">
        <v>358</v>
      </c>
    </row>
    <row r="86" spans="1:14" ht="13.5" x14ac:dyDescent="0.25">
      <c r="A86">
        <v>85</v>
      </c>
      <c r="B86" t="s">
        <v>31</v>
      </c>
      <c r="C86" t="s">
        <v>359</v>
      </c>
      <c r="D86" t="s">
        <v>360</v>
      </c>
      <c r="E86" t="s">
        <v>361</v>
      </c>
      <c r="F86" t="s">
        <v>58</v>
      </c>
      <c r="G86" t="s">
        <v>362</v>
      </c>
      <c r="H86" t="s">
        <v>31</v>
      </c>
      <c r="I86" t="s">
        <v>116</v>
      </c>
      <c r="J86">
        <v>12</v>
      </c>
      <c r="K86" t="s">
        <v>1</v>
      </c>
      <c r="L86" t="s">
        <v>1</v>
      </c>
      <c r="M86" s="3">
        <v>0</v>
      </c>
      <c r="N86" t="s">
        <v>1</v>
      </c>
    </row>
    <row r="87" spans="1:14" ht="13.5" x14ac:dyDescent="0.25">
      <c r="A87">
        <v>86</v>
      </c>
      <c r="B87" t="s">
        <v>31</v>
      </c>
      <c r="C87" t="s">
        <v>363</v>
      </c>
      <c r="D87" t="s">
        <v>364</v>
      </c>
      <c r="E87" t="s">
        <v>365</v>
      </c>
      <c r="F87" t="s">
        <v>58</v>
      </c>
      <c r="G87" t="s">
        <v>366</v>
      </c>
      <c r="H87" t="s">
        <v>31</v>
      </c>
      <c r="I87" t="s">
        <v>116</v>
      </c>
      <c r="J87">
        <v>16</v>
      </c>
      <c r="K87" t="s">
        <v>1</v>
      </c>
      <c r="L87" t="s">
        <v>1</v>
      </c>
      <c r="M87" s="3">
        <v>0</v>
      </c>
      <c r="N87" t="s">
        <v>1</v>
      </c>
    </row>
    <row r="88" spans="1:14" ht="13.5" x14ac:dyDescent="0.25">
      <c r="A88">
        <v>87</v>
      </c>
      <c r="B88" t="s">
        <v>31</v>
      </c>
      <c r="C88" t="s">
        <v>49</v>
      </c>
      <c r="D88" t="s">
        <v>367</v>
      </c>
      <c r="E88" t="s">
        <v>368</v>
      </c>
      <c r="F88" t="s">
        <v>52</v>
      </c>
      <c r="G88" t="s">
        <v>369</v>
      </c>
      <c r="H88" t="s">
        <v>31</v>
      </c>
      <c r="I88" t="s">
        <v>116</v>
      </c>
      <c r="J88">
        <v>24</v>
      </c>
      <c r="K88" t="s">
        <v>1</v>
      </c>
      <c r="L88" t="s">
        <v>1</v>
      </c>
      <c r="M88" s="3">
        <v>0</v>
      </c>
      <c r="N88" t="s">
        <v>1</v>
      </c>
    </row>
    <row r="89" spans="1:14" ht="13.5" x14ac:dyDescent="0.25">
      <c r="A89">
        <v>88</v>
      </c>
      <c r="B89" t="s">
        <v>32</v>
      </c>
      <c r="C89" t="s">
        <v>194</v>
      </c>
      <c r="D89" t="s">
        <v>370</v>
      </c>
      <c r="E89" t="s">
        <v>371</v>
      </c>
      <c r="F89" t="s">
        <v>52</v>
      </c>
      <c r="G89" t="s">
        <v>372</v>
      </c>
      <c r="H89" t="s">
        <v>120</v>
      </c>
      <c r="I89" t="s">
        <v>116</v>
      </c>
      <c r="J89">
        <v>16</v>
      </c>
      <c r="K89" t="s">
        <v>1</v>
      </c>
      <c r="L89" t="s">
        <v>1</v>
      </c>
      <c r="M89" s="3">
        <v>0</v>
      </c>
      <c r="N89" t="s">
        <v>373</v>
      </c>
    </row>
    <row r="90" spans="1:14" ht="13.5" x14ac:dyDescent="0.25">
      <c r="A90">
        <v>89</v>
      </c>
      <c r="B90" t="s">
        <v>32</v>
      </c>
      <c r="C90" t="s">
        <v>374</v>
      </c>
      <c r="D90" t="s">
        <v>375</v>
      </c>
      <c r="E90" t="s">
        <v>371</v>
      </c>
      <c r="F90" t="s">
        <v>52</v>
      </c>
      <c r="G90" t="s">
        <v>376</v>
      </c>
      <c r="H90" t="s">
        <v>120</v>
      </c>
      <c r="I90" t="s">
        <v>116</v>
      </c>
      <c r="J90">
        <v>16</v>
      </c>
      <c r="K90" t="s">
        <v>1</v>
      </c>
      <c r="L90" t="s">
        <v>1</v>
      </c>
      <c r="M90" s="3">
        <v>0</v>
      </c>
      <c r="N90" t="s">
        <v>1</v>
      </c>
    </row>
    <row r="91" spans="1:14" ht="13.5" x14ac:dyDescent="0.25">
      <c r="A91">
        <v>90</v>
      </c>
      <c r="B91" t="s">
        <v>32</v>
      </c>
      <c r="C91" t="s">
        <v>194</v>
      </c>
      <c r="D91" t="s">
        <v>377</v>
      </c>
      <c r="E91" t="s">
        <v>378</v>
      </c>
      <c r="F91" t="s">
        <v>52</v>
      </c>
      <c r="G91" t="s">
        <v>379</v>
      </c>
      <c r="H91" t="s">
        <v>120</v>
      </c>
      <c r="I91" t="s">
        <v>116</v>
      </c>
      <c r="J91">
        <v>20</v>
      </c>
      <c r="K91" t="s">
        <v>1</v>
      </c>
      <c r="L91" t="s">
        <v>1</v>
      </c>
      <c r="M91" s="3">
        <v>0</v>
      </c>
      <c r="N91" t="s">
        <v>380</v>
      </c>
    </row>
    <row r="92" spans="1:14" ht="13.5" x14ac:dyDescent="0.25">
      <c r="A92">
        <v>91</v>
      </c>
      <c r="B92" t="s">
        <v>32</v>
      </c>
      <c r="C92" t="s">
        <v>381</v>
      </c>
      <c r="D92" t="s">
        <v>382</v>
      </c>
      <c r="E92" t="s">
        <v>383</v>
      </c>
      <c r="F92" t="s">
        <v>58</v>
      </c>
      <c r="G92" t="s">
        <v>384</v>
      </c>
      <c r="H92" t="s">
        <v>120</v>
      </c>
      <c r="I92" t="s">
        <v>116</v>
      </c>
      <c r="J92">
        <v>8</v>
      </c>
      <c r="K92" t="s">
        <v>1</v>
      </c>
      <c r="L92" t="s">
        <v>1</v>
      </c>
      <c r="M92" s="3">
        <v>0</v>
      </c>
      <c r="N92" t="s">
        <v>385</v>
      </c>
    </row>
    <row r="93" spans="1:14" ht="13.5" x14ac:dyDescent="0.25">
      <c r="A93">
        <v>92</v>
      </c>
      <c r="B93" t="s">
        <v>33</v>
      </c>
      <c r="C93" t="s">
        <v>200</v>
      </c>
      <c r="D93" t="s">
        <v>386</v>
      </c>
      <c r="E93" t="s">
        <v>387</v>
      </c>
      <c r="F93" t="s">
        <v>52</v>
      </c>
      <c r="G93" t="s">
        <v>388</v>
      </c>
      <c r="H93" t="s">
        <v>203</v>
      </c>
      <c r="I93" t="s">
        <v>116</v>
      </c>
      <c r="J93">
        <v>12</v>
      </c>
      <c r="K93" t="s">
        <v>1</v>
      </c>
      <c r="L93" t="s">
        <v>1</v>
      </c>
      <c r="M93" s="3">
        <v>0</v>
      </c>
      <c r="N93" t="s">
        <v>389</v>
      </c>
    </row>
    <row r="94" spans="1:14" ht="13.5" x14ac:dyDescent="0.25">
      <c r="A94">
        <v>93</v>
      </c>
      <c r="B94" t="s">
        <v>33</v>
      </c>
      <c r="C94" t="s">
        <v>179</v>
      </c>
      <c r="D94" t="s">
        <v>390</v>
      </c>
      <c r="E94" t="s">
        <v>391</v>
      </c>
      <c r="F94" t="s">
        <v>52</v>
      </c>
      <c r="G94" t="s">
        <v>392</v>
      </c>
      <c r="H94" t="s">
        <v>203</v>
      </c>
      <c r="I94" t="s">
        <v>116</v>
      </c>
      <c r="J94">
        <v>8</v>
      </c>
      <c r="K94" t="s">
        <v>1</v>
      </c>
      <c r="L94" t="s">
        <v>1</v>
      </c>
      <c r="M94" s="3">
        <v>0</v>
      </c>
      <c r="N94" t="s">
        <v>393</v>
      </c>
    </row>
    <row r="95" spans="1:14" ht="13.5" x14ac:dyDescent="0.25">
      <c r="A95">
        <v>94</v>
      </c>
      <c r="B95" t="s">
        <v>33</v>
      </c>
      <c r="C95" t="s">
        <v>49</v>
      </c>
      <c r="D95" t="s">
        <v>394</v>
      </c>
      <c r="E95" t="s">
        <v>395</v>
      </c>
      <c r="F95" t="s">
        <v>58</v>
      </c>
      <c r="G95" t="s">
        <v>396</v>
      </c>
      <c r="H95" t="s">
        <v>397</v>
      </c>
      <c r="I95" t="s">
        <v>116</v>
      </c>
      <c r="J95">
        <v>20</v>
      </c>
      <c r="K95" t="s">
        <v>1</v>
      </c>
      <c r="L95" t="s">
        <v>1</v>
      </c>
      <c r="M95" s="3">
        <v>0</v>
      </c>
      <c r="N95" t="s">
        <v>1</v>
      </c>
    </row>
    <row r="96" spans="1:14" ht="13.5" x14ac:dyDescent="0.25">
      <c r="A96">
        <v>95</v>
      </c>
      <c r="B96" t="s">
        <v>33</v>
      </c>
      <c r="C96" t="s">
        <v>381</v>
      </c>
      <c r="D96" t="s">
        <v>398</v>
      </c>
      <c r="E96" t="s">
        <v>399</v>
      </c>
      <c r="F96" t="s">
        <v>58</v>
      </c>
      <c r="G96" t="s">
        <v>400</v>
      </c>
      <c r="H96" t="s">
        <v>397</v>
      </c>
      <c r="I96" t="s">
        <v>116</v>
      </c>
      <c r="J96">
        <v>12</v>
      </c>
      <c r="K96" t="s">
        <v>1</v>
      </c>
      <c r="L96" t="s">
        <v>1</v>
      </c>
      <c r="M96" s="3">
        <v>0</v>
      </c>
      <c r="N96" t="s">
        <v>401</v>
      </c>
    </row>
    <row r="97" spans="1:14" ht="13.5" x14ac:dyDescent="0.25">
      <c r="A97">
        <v>96</v>
      </c>
      <c r="B97" t="s">
        <v>33</v>
      </c>
      <c r="C97" t="s">
        <v>402</v>
      </c>
      <c r="D97" t="s">
        <v>403</v>
      </c>
      <c r="E97" t="s">
        <v>404</v>
      </c>
      <c r="F97" t="s">
        <v>52</v>
      </c>
      <c r="G97" t="s">
        <v>405</v>
      </c>
      <c r="H97" t="s">
        <v>397</v>
      </c>
      <c r="I97" t="s">
        <v>116</v>
      </c>
      <c r="J97">
        <v>24</v>
      </c>
      <c r="K97" t="s">
        <v>1</v>
      </c>
      <c r="L97" t="s">
        <v>1</v>
      </c>
      <c r="M97" s="3">
        <v>0</v>
      </c>
      <c r="N97" t="s">
        <v>406</v>
      </c>
    </row>
    <row r="98" spans="1:14" ht="13.5" x14ac:dyDescent="0.25">
      <c r="A98">
        <v>97</v>
      </c>
      <c r="B98" t="s">
        <v>33</v>
      </c>
      <c r="C98" t="s">
        <v>49</v>
      </c>
      <c r="D98" t="s">
        <v>407</v>
      </c>
      <c r="E98" t="s">
        <v>408</v>
      </c>
      <c r="F98" t="s">
        <v>52</v>
      </c>
      <c r="G98" t="s">
        <v>409</v>
      </c>
      <c r="H98" t="s">
        <v>397</v>
      </c>
      <c r="I98" t="s">
        <v>116</v>
      </c>
      <c r="J98">
        <v>30</v>
      </c>
      <c r="K98" t="s">
        <v>1</v>
      </c>
      <c r="L98" t="s">
        <v>1</v>
      </c>
      <c r="M98" s="3">
        <v>0</v>
      </c>
      <c r="N98" t="s">
        <v>1</v>
      </c>
    </row>
    <row r="99" spans="1:14" ht="13.5" x14ac:dyDescent="0.25">
      <c r="A99">
        <v>98</v>
      </c>
      <c r="B99" t="s">
        <v>33</v>
      </c>
      <c r="C99" t="s">
        <v>96</v>
      </c>
      <c r="D99" t="s">
        <v>410</v>
      </c>
      <c r="E99" t="s">
        <v>411</v>
      </c>
      <c r="F99" t="s">
        <v>52</v>
      </c>
      <c r="G99" t="s">
        <v>412</v>
      </c>
      <c r="H99" t="s">
        <v>397</v>
      </c>
      <c r="I99" t="s">
        <v>116</v>
      </c>
      <c r="J99">
        <v>4</v>
      </c>
      <c r="K99" t="s">
        <v>1</v>
      </c>
      <c r="L99" t="s">
        <v>1</v>
      </c>
      <c r="M99" s="3">
        <v>0</v>
      </c>
      <c r="N99" t="s">
        <v>1</v>
      </c>
    </row>
    <row r="100" spans="1:14" ht="13.5" x14ac:dyDescent="0.25">
      <c r="A100">
        <v>99</v>
      </c>
      <c r="B100" t="s">
        <v>33</v>
      </c>
      <c r="C100" t="s">
        <v>200</v>
      </c>
      <c r="D100" t="s">
        <v>413</v>
      </c>
      <c r="E100" t="s">
        <v>414</v>
      </c>
      <c r="F100" t="s">
        <v>52</v>
      </c>
      <c r="G100" t="s">
        <v>415</v>
      </c>
      <c r="H100" t="s">
        <v>203</v>
      </c>
      <c r="I100" t="s">
        <v>116</v>
      </c>
      <c r="J100">
        <v>6</v>
      </c>
      <c r="K100" t="s">
        <v>1</v>
      </c>
      <c r="L100" t="s">
        <v>1</v>
      </c>
      <c r="M100" s="3">
        <v>0</v>
      </c>
      <c r="N100" t="s">
        <v>1</v>
      </c>
    </row>
    <row r="101" spans="1:14" ht="13.5" x14ac:dyDescent="0.25">
      <c r="A101">
        <v>100</v>
      </c>
      <c r="B101" t="s">
        <v>34</v>
      </c>
      <c r="C101" t="s">
        <v>381</v>
      </c>
      <c r="D101" t="s">
        <v>416</v>
      </c>
      <c r="E101" t="s">
        <v>417</v>
      </c>
      <c r="F101" t="s">
        <v>52</v>
      </c>
      <c r="G101" t="s">
        <v>418</v>
      </c>
      <c r="H101" t="s">
        <v>397</v>
      </c>
      <c r="I101" t="s">
        <v>116</v>
      </c>
      <c r="J101">
        <v>20</v>
      </c>
      <c r="K101" t="s">
        <v>1</v>
      </c>
      <c r="L101" t="s">
        <v>1</v>
      </c>
      <c r="M101" s="3">
        <v>0</v>
      </c>
      <c r="N101" t="s">
        <v>1</v>
      </c>
    </row>
    <row r="102" spans="1:14" ht="13.5" x14ac:dyDescent="0.25">
      <c r="A102">
        <v>101</v>
      </c>
      <c r="B102" t="s">
        <v>34</v>
      </c>
      <c r="C102" t="s">
        <v>49</v>
      </c>
      <c r="D102" t="s">
        <v>419</v>
      </c>
      <c r="E102" t="s">
        <v>420</v>
      </c>
      <c r="F102" t="s">
        <v>58</v>
      </c>
      <c r="G102" t="s">
        <v>421</v>
      </c>
      <c r="H102" t="s">
        <v>53</v>
      </c>
      <c r="I102" t="s">
        <v>116</v>
      </c>
      <c r="J102">
        <v>12</v>
      </c>
      <c r="K102" t="s">
        <v>1</v>
      </c>
      <c r="L102" t="s">
        <v>1</v>
      </c>
      <c r="M102" s="3">
        <v>0</v>
      </c>
      <c r="N102" t="s">
        <v>1</v>
      </c>
    </row>
    <row r="103" spans="1:14" ht="13.5" x14ac:dyDescent="0.25">
      <c r="A103">
        <v>102</v>
      </c>
      <c r="B103" t="s">
        <v>34</v>
      </c>
      <c r="C103" t="s">
        <v>61</v>
      </c>
      <c r="D103" t="s">
        <v>422</v>
      </c>
      <c r="E103" t="s">
        <v>423</v>
      </c>
      <c r="F103" t="s">
        <v>58</v>
      </c>
      <c r="G103" t="s">
        <v>418</v>
      </c>
      <c r="H103" t="s">
        <v>65</v>
      </c>
      <c r="I103" t="s">
        <v>116</v>
      </c>
      <c r="J103">
        <v>20</v>
      </c>
      <c r="K103" t="s">
        <v>1</v>
      </c>
      <c r="L103" t="s">
        <v>1</v>
      </c>
      <c r="M103" s="3">
        <v>0</v>
      </c>
      <c r="N103" t="s">
        <v>1</v>
      </c>
    </row>
    <row r="104" spans="1:14" ht="13.5" x14ac:dyDescent="0.25">
      <c r="A104">
        <v>103</v>
      </c>
      <c r="B104" t="s">
        <v>34</v>
      </c>
      <c r="C104" t="s">
        <v>49</v>
      </c>
      <c r="D104" t="s">
        <v>424</v>
      </c>
      <c r="E104" t="s">
        <v>425</v>
      </c>
      <c r="F104" t="s">
        <v>58</v>
      </c>
      <c r="G104" t="s">
        <v>426</v>
      </c>
      <c r="H104" t="s">
        <v>53</v>
      </c>
      <c r="I104" t="s">
        <v>116</v>
      </c>
      <c r="J104">
        <v>10</v>
      </c>
      <c r="K104" t="s">
        <v>1</v>
      </c>
      <c r="L104" t="s">
        <v>1</v>
      </c>
      <c r="M104" s="3">
        <v>0</v>
      </c>
      <c r="N104" t="s">
        <v>1</v>
      </c>
    </row>
    <row r="105" spans="1:14" ht="13.5" x14ac:dyDescent="0.25">
      <c r="A105">
        <v>104</v>
      </c>
      <c r="B105" t="s">
        <v>34</v>
      </c>
      <c r="C105" t="s">
        <v>172</v>
      </c>
      <c r="D105" t="s">
        <v>427</v>
      </c>
      <c r="E105" t="s">
        <v>428</v>
      </c>
      <c r="F105" t="s">
        <v>74</v>
      </c>
      <c r="G105" t="s">
        <v>429</v>
      </c>
      <c r="H105" t="s">
        <v>175</v>
      </c>
      <c r="I105" t="s">
        <v>116</v>
      </c>
      <c r="J105">
        <v>10</v>
      </c>
      <c r="K105" t="s">
        <v>1</v>
      </c>
      <c r="L105" t="s">
        <v>1</v>
      </c>
      <c r="M105" s="3">
        <v>0</v>
      </c>
      <c r="N105" t="s">
        <v>1</v>
      </c>
    </row>
    <row r="106" spans="1:14" ht="13.5" x14ac:dyDescent="0.25">
      <c r="A106">
        <v>105</v>
      </c>
      <c r="B106" t="s">
        <v>34</v>
      </c>
      <c r="C106" t="s">
        <v>96</v>
      </c>
      <c r="D106" t="s">
        <v>430</v>
      </c>
      <c r="E106" t="s">
        <v>431</v>
      </c>
      <c r="F106" t="s">
        <v>74</v>
      </c>
      <c r="G106" t="s">
        <v>432</v>
      </c>
      <c r="H106" t="s">
        <v>53</v>
      </c>
      <c r="I106" t="s">
        <v>116</v>
      </c>
      <c r="J106">
        <v>5</v>
      </c>
      <c r="K106" t="s">
        <v>1</v>
      </c>
      <c r="L106" t="s">
        <v>1</v>
      </c>
      <c r="M106" s="3">
        <v>0</v>
      </c>
      <c r="N106" t="s">
        <v>1</v>
      </c>
    </row>
    <row r="107" spans="1:14" ht="13.5" x14ac:dyDescent="0.25">
      <c r="A107">
        <v>106</v>
      </c>
      <c r="B107" t="s">
        <v>28</v>
      </c>
      <c r="C107" t="s">
        <v>433</v>
      </c>
      <c r="D107" t="s">
        <v>434</v>
      </c>
      <c r="E107" t="s">
        <v>435</v>
      </c>
      <c r="F107" t="s">
        <v>52</v>
      </c>
      <c r="G107" t="s">
        <v>436</v>
      </c>
      <c r="H107" t="s">
        <v>182</v>
      </c>
      <c r="I107" t="s">
        <v>11</v>
      </c>
      <c r="J107">
        <v>20</v>
      </c>
      <c r="K107" t="s">
        <v>1</v>
      </c>
      <c r="L107" t="s">
        <v>1</v>
      </c>
      <c r="M107" s="3">
        <v>0.5</v>
      </c>
      <c r="N107" t="s">
        <v>437</v>
      </c>
    </row>
    <row r="108" spans="1:14" ht="13.5" x14ac:dyDescent="0.25">
      <c r="A108">
        <v>107</v>
      </c>
      <c r="B108" t="s">
        <v>29</v>
      </c>
      <c r="C108" t="s">
        <v>438</v>
      </c>
      <c r="D108" t="s">
        <v>439</v>
      </c>
      <c r="E108" t="s">
        <v>440</v>
      </c>
      <c r="F108" t="s">
        <v>58</v>
      </c>
      <c r="G108" t="s">
        <v>441</v>
      </c>
      <c r="H108" t="s">
        <v>276</v>
      </c>
      <c r="I108" t="s">
        <v>11</v>
      </c>
      <c r="J108">
        <v>18</v>
      </c>
      <c r="K108" t="s">
        <v>1</v>
      </c>
      <c r="L108" t="s">
        <v>1</v>
      </c>
      <c r="M108" s="3">
        <v>0.5</v>
      </c>
      <c r="N108" t="s">
        <v>442</v>
      </c>
    </row>
    <row r="109" spans="1:14" ht="13.5" x14ac:dyDescent="0.25">
      <c r="A109">
        <v>108</v>
      </c>
      <c r="B109" t="s">
        <v>30</v>
      </c>
      <c r="C109" t="s">
        <v>324</v>
      </c>
      <c r="D109" t="s">
        <v>443</v>
      </c>
      <c r="E109" t="s">
        <v>444</v>
      </c>
      <c r="F109" t="s">
        <v>52</v>
      </c>
      <c r="G109" t="s">
        <v>445</v>
      </c>
      <c r="H109" t="s">
        <v>65</v>
      </c>
      <c r="I109" t="s">
        <v>11</v>
      </c>
      <c r="J109">
        <v>20</v>
      </c>
      <c r="K109" t="s">
        <v>1</v>
      </c>
      <c r="L109" t="s">
        <v>1</v>
      </c>
      <c r="M109" s="3">
        <v>0.5</v>
      </c>
      <c r="N109" t="s">
        <v>446</v>
      </c>
    </row>
    <row r="110" spans="1:14" ht="13.5" x14ac:dyDescent="0.25">
      <c r="A110">
        <v>109</v>
      </c>
      <c r="B110" t="s">
        <v>29</v>
      </c>
      <c r="C110" t="s">
        <v>447</v>
      </c>
      <c r="D110" t="s">
        <v>448</v>
      </c>
      <c r="E110" t="s">
        <v>449</v>
      </c>
      <c r="F110" t="s">
        <v>58</v>
      </c>
      <c r="G110" t="s">
        <v>450</v>
      </c>
      <c r="H110" t="s">
        <v>276</v>
      </c>
      <c r="I110" t="s">
        <v>54</v>
      </c>
      <c r="J110">
        <v>12</v>
      </c>
      <c r="K110" t="s">
        <v>1</v>
      </c>
      <c r="L110" t="s">
        <v>1</v>
      </c>
      <c r="M110" s="3">
        <v>1</v>
      </c>
      <c r="N110" t="s">
        <v>451</v>
      </c>
    </row>
    <row r="111" spans="1:14" ht="13.5" x14ac:dyDescent="0.25">
      <c r="A111">
        <v>110</v>
      </c>
      <c r="B111" t="s">
        <v>30</v>
      </c>
      <c r="C111" t="s">
        <v>324</v>
      </c>
      <c r="D111" t="s">
        <v>452</v>
      </c>
      <c r="E111" t="s">
        <v>453</v>
      </c>
      <c r="F111" t="s">
        <v>58</v>
      </c>
      <c r="G111" t="s">
        <v>450</v>
      </c>
      <c r="H111" t="s">
        <v>65</v>
      </c>
      <c r="I111" t="s">
        <v>11</v>
      </c>
      <c r="J111">
        <v>8</v>
      </c>
      <c r="K111" t="s">
        <v>1</v>
      </c>
      <c r="L111" t="s">
        <v>1</v>
      </c>
      <c r="M111" s="3">
        <v>0.5</v>
      </c>
      <c r="N111" t="s">
        <v>454</v>
      </c>
    </row>
    <row r="112" spans="1:14" ht="13.5" x14ac:dyDescent="0.25">
      <c r="A112">
        <v>111</v>
      </c>
      <c r="B112" t="s">
        <v>28</v>
      </c>
      <c r="C112" t="s">
        <v>455</v>
      </c>
      <c r="D112" t="s">
        <v>456</v>
      </c>
      <c r="E112" t="s">
        <v>457</v>
      </c>
      <c r="F112" t="s">
        <v>58</v>
      </c>
      <c r="G112" t="s">
        <v>458</v>
      </c>
      <c r="H112" t="s">
        <v>182</v>
      </c>
      <c r="I112" t="s">
        <v>116</v>
      </c>
      <c r="J112">
        <v>16</v>
      </c>
      <c r="K112" t="s">
        <v>1</v>
      </c>
      <c r="L112" t="s">
        <v>1</v>
      </c>
      <c r="M112" s="3">
        <v>0</v>
      </c>
      <c r="N112" t="s">
        <v>459</v>
      </c>
    </row>
    <row r="113" spans="1:14" ht="13.5" x14ac:dyDescent="0.25">
      <c r="A113">
        <v>112</v>
      </c>
      <c r="B113" t="s">
        <v>23</v>
      </c>
      <c r="C113" t="s">
        <v>49</v>
      </c>
      <c r="D113" t="s">
        <v>460</v>
      </c>
      <c r="E113" t="s">
        <v>461</v>
      </c>
      <c r="F113" t="s">
        <v>52</v>
      </c>
      <c r="G113" t="s">
        <v>462</v>
      </c>
      <c r="H113" t="s">
        <v>106</v>
      </c>
      <c r="I113" t="s">
        <v>116</v>
      </c>
      <c r="J113">
        <v>8</v>
      </c>
      <c r="K113" t="s">
        <v>1</v>
      </c>
      <c r="L113" t="s">
        <v>1</v>
      </c>
      <c r="M113" s="3">
        <v>0</v>
      </c>
      <c r="N113" t="s">
        <v>463</v>
      </c>
    </row>
    <row r="114" spans="1:14" ht="13.5" x14ac:dyDescent="0.25">
      <c r="A114">
        <v>113</v>
      </c>
      <c r="B114" t="s">
        <v>28</v>
      </c>
      <c r="C114" t="s">
        <v>464</v>
      </c>
      <c r="D114" t="s">
        <v>465</v>
      </c>
      <c r="E114" t="s">
        <v>466</v>
      </c>
      <c r="F114" t="s">
        <v>58</v>
      </c>
      <c r="G114" t="s">
        <v>467</v>
      </c>
      <c r="H114" t="s">
        <v>175</v>
      </c>
      <c r="I114" t="s">
        <v>116</v>
      </c>
      <c r="J114">
        <v>24</v>
      </c>
      <c r="K114" t="s">
        <v>1</v>
      </c>
      <c r="L114" t="s">
        <v>1</v>
      </c>
      <c r="M114" s="3">
        <v>0</v>
      </c>
      <c r="N114" t="s">
        <v>468</v>
      </c>
    </row>
    <row r="115" spans="1:14" ht="13.5" x14ac:dyDescent="0.25">
      <c r="A115">
        <v>114</v>
      </c>
      <c r="B115" t="s">
        <v>28</v>
      </c>
      <c r="C115" t="s">
        <v>464</v>
      </c>
      <c r="D115" t="s">
        <v>469</v>
      </c>
      <c r="E115" t="s">
        <v>470</v>
      </c>
      <c r="F115" t="s">
        <v>58</v>
      </c>
      <c r="G115" t="s">
        <v>467</v>
      </c>
      <c r="H115" t="s">
        <v>175</v>
      </c>
      <c r="I115" t="s">
        <v>116</v>
      </c>
      <c r="J115">
        <v>24</v>
      </c>
      <c r="K115" t="s">
        <v>1</v>
      </c>
      <c r="L115" t="s">
        <v>1</v>
      </c>
      <c r="M115" s="3">
        <v>0</v>
      </c>
      <c r="N115" t="s">
        <v>471</v>
      </c>
    </row>
    <row r="116" spans="1:14" ht="13.5" x14ac:dyDescent="0.25">
      <c r="A116">
        <v>115</v>
      </c>
      <c r="B116" t="s">
        <v>30</v>
      </c>
      <c r="C116" t="s">
        <v>472</v>
      </c>
      <c r="D116" t="s">
        <v>473</v>
      </c>
      <c r="E116" t="s">
        <v>474</v>
      </c>
      <c r="F116" t="s">
        <v>52</v>
      </c>
      <c r="G116" t="s">
        <v>475</v>
      </c>
      <c r="H116" t="s">
        <v>65</v>
      </c>
      <c r="I116" t="s">
        <v>116</v>
      </c>
      <c r="J116">
        <v>16</v>
      </c>
      <c r="K116" t="s">
        <v>1</v>
      </c>
      <c r="L116" t="s">
        <v>1</v>
      </c>
      <c r="M116" s="3">
        <v>0</v>
      </c>
      <c r="N116" t="s">
        <v>476</v>
      </c>
    </row>
    <row r="117" spans="1:14" ht="13.5" x14ac:dyDescent="0.25">
      <c r="A117">
        <v>116</v>
      </c>
      <c r="B117" t="s">
        <v>29</v>
      </c>
      <c r="C117" t="s">
        <v>455</v>
      </c>
      <c r="D117" t="s">
        <v>477</v>
      </c>
      <c r="E117" t="s">
        <v>478</v>
      </c>
      <c r="F117" t="s">
        <v>52</v>
      </c>
      <c r="G117" t="s">
        <v>479</v>
      </c>
      <c r="H117" t="s">
        <v>276</v>
      </c>
      <c r="I117" t="s">
        <v>116</v>
      </c>
      <c r="J117">
        <v>24</v>
      </c>
      <c r="K117" t="s">
        <v>1</v>
      </c>
      <c r="L117" t="s">
        <v>1</v>
      </c>
      <c r="M117" s="3">
        <v>0</v>
      </c>
      <c r="N117" t="s">
        <v>480</v>
      </c>
    </row>
    <row r="118" spans="1:14" ht="13.5" x14ac:dyDescent="0.25">
      <c r="A118">
        <v>117</v>
      </c>
      <c r="B118" t="s">
        <v>29</v>
      </c>
      <c r="C118" t="s">
        <v>481</v>
      </c>
      <c r="D118" t="s">
        <v>482</v>
      </c>
      <c r="E118" t="s">
        <v>483</v>
      </c>
      <c r="F118" t="s">
        <v>58</v>
      </c>
      <c r="G118" t="s">
        <v>484</v>
      </c>
      <c r="H118" t="s">
        <v>276</v>
      </c>
      <c r="I118" t="s">
        <v>116</v>
      </c>
      <c r="J118">
        <v>12</v>
      </c>
      <c r="K118" t="s">
        <v>1</v>
      </c>
      <c r="L118" t="s">
        <v>1</v>
      </c>
      <c r="M118" s="3">
        <v>0</v>
      </c>
      <c r="N118" t="s">
        <v>485</v>
      </c>
    </row>
    <row r="119" spans="1:14" ht="13.5" x14ac:dyDescent="0.25">
      <c r="A119">
        <v>118</v>
      </c>
      <c r="B119" t="s">
        <v>27</v>
      </c>
      <c r="C119" t="s">
        <v>486</v>
      </c>
      <c r="D119" t="s">
        <v>487</v>
      </c>
      <c r="E119" t="s">
        <v>488</v>
      </c>
      <c r="F119" t="s">
        <v>52</v>
      </c>
      <c r="G119" t="s">
        <v>489</v>
      </c>
      <c r="H119" t="s">
        <v>203</v>
      </c>
      <c r="I119" t="s">
        <v>116</v>
      </c>
      <c r="J119">
        <v>8</v>
      </c>
      <c r="K119" t="s">
        <v>1</v>
      </c>
      <c r="L119" t="s">
        <v>1</v>
      </c>
      <c r="M119" s="3">
        <v>0</v>
      </c>
      <c r="N119" t="s">
        <v>490</v>
      </c>
    </row>
    <row r="120" spans="1:14" ht="13.5" x14ac:dyDescent="0.25">
      <c r="A120">
        <v>119</v>
      </c>
      <c r="B120" t="s">
        <v>29</v>
      </c>
      <c r="C120" t="s">
        <v>491</v>
      </c>
      <c r="D120" t="s">
        <v>492</v>
      </c>
      <c r="E120" t="s">
        <v>493</v>
      </c>
      <c r="F120" t="s">
        <v>58</v>
      </c>
      <c r="G120" t="s">
        <v>494</v>
      </c>
      <c r="H120" t="s">
        <v>276</v>
      </c>
      <c r="I120" t="s">
        <v>116</v>
      </c>
      <c r="J120">
        <v>12</v>
      </c>
      <c r="K120" t="s">
        <v>1</v>
      </c>
      <c r="L120" t="s">
        <v>1</v>
      </c>
      <c r="M120" s="3">
        <v>0</v>
      </c>
      <c r="N120" t="s">
        <v>495</v>
      </c>
    </row>
    <row r="121" spans="1:14" ht="13.5" x14ac:dyDescent="0.25">
      <c r="A121">
        <v>120</v>
      </c>
      <c r="B121" t="s">
        <v>23</v>
      </c>
      <c r="C121" t="s">
        <v>496</v>
      </c>
      <c r="D121" t="s">
        <v>497</v>
      </c>
      <c r="E121" t="s">
        <v>498</v>
      </c>
      <c r="F121" t="s">
        <v>58</v>
      </c>
      <c r="G121" t="s">
        <v>499</v>
      </c>
      <c r="H121" t="s">
        <v>106</v>
      </c>
      <c r="I121" t="s">
        <v>54</v>
      </c>
      <c r="J121">
        <v>6</v>
      </c>
      <c r="K121" t="s">
        <v>1</v>
      </c>
      <c r="L121" t="s">
        <v>1</v>
      </c>
      <c r="M121" s="3">
        <v>1</v>
      </c>
      <c r="N121" t="s">
        <v>500</v>
      </c>
    </row>
    <row r="122" spans="1:14" ht="13.5" x14ac:dyDescent="0.25">
      <c r="A122">
        <v>121</v>
      </c>
      <c r="B122" t="s">
        <v>32</v>
      </c>
      <c r="C122" t="s">
        <v>194</v>
      </c>
      <c r="D122" t="s">
        <v>501</v>
      </c>
      <c r="E122" t="s">
        <v>502</v>
      </c>
      <c r="F122" t="s">
        <v>52</v>
      </c>
      <c r="G122" t="s">
        <v>503</v>
      </c>
      <c r="H122" t="s">
        <v>120</v>
      </c>
      <c r="I122" t="s">
        <v>116</v>
      </c>
      <c r="J122">
        <v>20</v>
      </c>
      <c r="K122" t="s">
        <v>1</v>
      </c>
      <c r="L122" t="s">
        <v>1</v>
      </c>
      <c r="M122" s="3">
        <v>0</v>
      </c>
      <c r="N122" t="s">
        <v>504</v>
      </c>
    </row>
    <row r="123" spans="1:14" ht="13.5" x14ac:dyDescent="0.25">
      <c r="A123">
        <v>122</v>
      </c>
      <c r="B123" t="s">
        <v>32</v>
      </c>
      <c r="C123" t="s">
        <v>505</v>
      </c>
      <c r="D123" t="s">
        <v>506</v>
      </c>
      <c r="E123" t="s">
        <v>507</v>
      </c>
      <c r="F123" t="s">
        <v>52</v>
      </c>
      <c r="G123" t="s">
        <v>508</v>
      </c>
      <c r="H123" t="s">
        <v>120</v>
      </c>
      <c r="I123" t="s">
        <v>116</v>
      </c>
      <c r="J123">
        <v>12</v>
      </c>
      <c r="K123" t="s">
        <v>1</v>
      </c>
      <c r="L123" t="s">
        <v>1</v>
      </c>
      <c r="M123" s="3">
        <v>0</v>
      </c>
      <c r="N123" t="s">
        <v>509</v>
      </c>
    </row>
    <row r="124" spans="1:14" ht="13.5" x14ac:dyDescent="0.25">
      <c r="A124">
        <v>123</v>
      </c>
      <c r="B124" t="s">
        <v>27</v>
      </c>
      <c r="C124" t="s">
        <v>200</v>
      </c>
      <c r="D124" t="s">
        <v>510</v>
      </c>
      <c r="E124" t="s">
        <v>511</v>
      </c>
      <c r="F124" t="s">
        <v>58</v>
      </c>
      <c r="G124" t="s">
        <v>512</v>
      </c>
      <c r="H124" t="s">
        <v>203</v>
      </c>
      <c r="I124" t="s">
        <v>116</v>
      </c>
      <c r="J124">
        <v>16</v>
      </c>
      <c r="K124" t="s">
        <v>1</v>
      </c>
      <c r="L124" t="s">
        <v>1</v>
      </c>
      <c r="M124" s="3">
        <v>0</v>
      </c>
      <c r="N124" t="s">
        <v>513</v>
      </c>
    </row>
  </sheetData>
  <autoFilter ref="A1:N124" xr:uid="{00000000-0009-0000-0000-000001000000}"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7" width="18" customWidth="1"/>
  </cols>
  <sheetData>
    <row r="1" spans="1:7" ht="13.5" x14ac:dyDescent="0.25">
      <c r="A1" s="1" t="s">
        <v>35</v>
      </c>
      <c r="B1" s="1" t="s">
        <v>514</v>
      </c>
      <c r="C1" s="1" t="s">
        <v>515</v>
      </c>
      <c r="D1" s="1" t="s">
        <v>43</v>
      </c>
      <c r="E1" s="1" t="s">
        <v>516</v>
      </c>
      <c r="F1" s="1" t="s">
        <v>517</v>
      </c>
      <c r="G1" s="1" t="s">
        <v>518</v>
      </c>
    </row>
    <row r="2" spans="1:7" ht="13.5" x14ac:dyDescent="0.25">
      <c r="A2" t="s">
        <v>519</v>
      </c>
      <c r="B2" t="s">
        <v>520</v>
      </c>
      <c r="C2">
        <v>13</v>
      </c>
      <c r="D2" t="s">
        <v>11</v>
      </c>
      <c r="E2" t="s">
        <v>521</v>
      </c>
      <c r="F2" t="s">
        <v>522</v>
      </c>
      <c r="G2" t="s">
        <v>1</v>
      </c>
    </row>
    <row r="3" spans="1:7" ht="13.5" x14ac:dyDescent="0.25">
      <c r="A3" t="s">
        <v>523</v>
      </c>
      <c r="B3" t="s">
        <v>524</v>
      </c>
      <c r="C3">
        <v>4</v>
      </c>
      <c r="D3" t="s">
        <v>11</v>
      </c>
      <c r="E3" t="s">
        <v>525</v>
      </c>
      <c r="F3" t="s">
        <v>526</v>
      </c>
      <c r="G3" t="s">
        <v>1</v>
      </c>
    </row>
    <row r="4" spans="1:7" ht="13.5" x14ac:dyDescent="0.25">
      <c r="A4" t="s">
        <v>527</v>
      </c>
      <c r="B4" t="s">
        <v>528</v>
      </c>
      <c r="C4">
        <v>31</v>
      </c>
      <c r="D4" t="s">
        <v>116</v>
      </c>
      <c r="E4" t="s">
        <v>529</v>
      </c>
      <c r="F4" t="s">
        <v>530</v>
      </c>
      <c r="G4" t="s">
        <v>1</v>
      </c>
    </row>
    <row r="5" spans="1:7" ht="13.5" x14ac:dyDescent="0.25">
      <c r="A5" t="s">
        <v>531</v>
      </c>
      <c r="B5" t="s">
        <v>532</v>
      </c>
      <c r="C5">
        <v>123</v>
      </c>
      <c r="D5" t="s">
        <v>11</v>
      </c>
      <c r="E5" t="s">
        <v>533</v>
      </c>
      <c r="F5" t="s">
        <v>534</v>
      </c>
      <c r="G5" t="s">
        <v>1</v>
      </c>
    </row>
    <row r="6" spans="1:7" ht="13.5" x14ac:dyDescent="0.25">
      <c r="A6" t="s">
        <v>535</v>
      </c>
      <c r="B6" t="s">
        <v>536</v>
      </c>
      <c r="C6">
        <v>75</v>
      </c>
      <c r="D6" t="s">
        <v>11</v>
      </c>
      <c r="E6" t="s">
        <v>537</v>
      </c>
      <c r="F6" t="s">
        <v>538</v>
      </c>
      <c r="G6" t="s">
        <v>1</v>
      </c>
    </row>
    <row r="7" spans="1:7" ht="13.5" x14ac:dyDescent="0.25">
      <c r="A7" t="s">
        <v>539</v>
      </c>
      <c r="B7" t="s">
        <v>540</v>
      </c>
      <c r="C7">
        <v>77</v>
      </c>
      <c r="D7" t="s">
        <v>116</v>
      </c>
      <c r="E7" t="s">
        <v>541</v>
      </c>
      <c r="F7" t="s">
        <v>542</v>
      </c>
      <c r="G7" t="s">
        <v>1</v>
      </c>
    </row>
    <row r="8" spans="1:7" ht="13.5" x14ac:dyDescent="0.25">
      <c r="A8" t="s">
        <v>543</v>
      </c>
      <c r="B8" t="s">
        <v>408</v>
      </c>
      <c r="C8">
        <v>96</v>
      </c>
      <c r="D8" t="s">
        <v>116</v>
      </c>
      <c r="E8" t="s">
        <v>544</v>
      </c>
      <c r="F8" t="s">
        <v>545</v>
      </c>
      <c r="G8" t="s">
        <v>1</v>
      </c>
    </row>
    <row r="9" spans="1:7" ht="13.5" x14ac:dyDescent="0.25">
      <c r="A9" t="s">
        <v>546</v>
      </c>
      <c r="B9" t="s">
        <v>547</v>
      </c>
      <c r="C9">
        <v>98</v>
      </c>
      <c r="D9" t="s">
        <v>116</v>
      </c>
      <c r="E9" t="s">
        <v>548</v>
      </c>
      <c r="F9" t="s">
        <v>549</v>
      </c>
      <c r="G9" t="s">
        <v>1</v>
      </c>
    </row>
    <row r="10" spans="1:7" ht="13.5" x14ac:dyDescent="0.25">
      <c r="A10" t="s">
        <v>550</v>
      </c>
      <c r="B10" t="s">
        <v>551</v>
      </c>
      <c r="C10">
        <v>102</v>
      </c>
      <c r="D10" t="s">
        <v>116</v>
      </c>
      <c r="E10" t="s">
        <v>552</v>
      </c>
      <c r="F10" t="s">
        <v>553</v>
      </c>
      <c r="G10" t="s">
        <v>1</v>
      </c>
    </row>
    <row r="11" spans="1:7" ht="13.5" x14ac:dyDescent="0.25">
      <c r="A11" t="s">
        <v>554</v>
      </c>
      <c r="B11" t="s">
        <v>555</v>
      </c>
      <c r="C11">
        <v>103</v>
      </c>
      <c r="D11" t="s">
        <v>116</v>
      </c>
      <c r="E11" t="s">
        <v>556</v>
      </c>
      <c r="F11" t="s">
        <v>101</v>
      </c>
      <c r="G11" t="s">
        <v>1</v>
      </c>
    </row>
  </sheetData>
  <autoFilter ref="A1:G11" xr:uid="{00000000-0009-0000-0000-000002000000}"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 spans="1:8" ht="13.5" x14ac:dyDescent="0.25">
      <c r="A1" s="1" t="s">
        <v>35</v>
      </c>
      <c r="B1" s="1" t="s">
        <v>557</v>
      </c>
      <c r="C1" s="1" t="s">
        <v>558</v>
      </c>
      <c r="D1" s="1" t="s">
        <v>559</v>
      </c>
      <c r="E1" s="1" t="s">
        <v>560</v>
      </c>
      <c r="F1" s="1" t="s">
        <v>561</v>
      </c>
      <c r="G1" s="1" t="s">
        <v>42</v>
      </c>
      <c r="H1" s="1" t="s">
        <v>43</v>
      </c>
    </row>
    <row r="2" spans="1:8" ht="13.5" x14ac:dyDescent="0.25">
      <c r="A2" t="s">
        <v>562</v>
      </c>
      <c r="B2" t="s">
        <v>563</v>
      </c>
      <c r="C2" t="s">
        <v>189</v>
      </c>
      <c r="D2" t="s">
        <v>58</v>
      </c>
      <c r="E2" t="s">
        <v>564</v>
      </c>
      <c r="F2" t="s">
        <v>565</v>
      </c>
      <c r="G2" t="s">
        <v>1</v>
      </c>
      <c r="H2" t="s">
        <v>566</v>
      </c>
    </row>
    <row r="3" spans="1:8" ht="13.5" x14ac:dyDescent="0.25">
      <c r="A3" t="s">
        <v>567</v>
      </c>
      <c r="B3" t="s">
        <v>568</v>
      </c>
      <c r="C3" t="s">
        <v>49</v>
      </c>
      <c r="D3" t="s">
        <v>58</v>
      </c>
      <c r="E3" t="s">
        <v>569</v>
      </c>
      <c r="F3" t="s">
        <v>570</v>
      </c>
      <c r="G3" t="s">
        <v>1</v>
      </c>
      <c r="H3" t="s">
        <v>566</v>
      </c>
    </row>
    <row r="4" spans="1:8" ht="13.5" x14ac:dyDescent="0.25">
      <c r="A4" t="s">
        <v>571</v>
      </c>
      <c r="B4" t="s">
        <v>572</v>
      </c>
      <c r="C4" t="s">
        <v>30</v>
      </c>
      <c r="D4" t="s">
        <v>74</v>
      </c>
      <c r="E4" t="s">
        <v>569</v>
      </c>
      <c r="F4" t="s">
        <v>573</v>
      </c>
      <c r="G4" t="s">
        <v>1</v>
      </c>
      <c r="H4" t="s">
        <v>566</v>
      </c>
    </row>
    <row r="5" spans="1:8" ht="13.5" x14ac:dyDescent="0.25">
      <c r="A5" t="s">
        <v>574</v>
      </c>
      <c r="B5" t="s">
        <v>575</v>
      </c>
      <c r="C5" t="s">
        <v>189</v>
      </c>
      <c r="D5" t="s">
        <v>74</v>
      </c>
      <c r="E5" t="s">
        <v>564</v>
      </c>
      <c r="F5" t="s">
        <v>576</v>
      </c>
      <c r="G5" t="s">
        <v>1</v>
      </c>
      <c r="H5" t="s">
        <v>566</v>
      </c>
    </row>
    <row r="6" spans="1:8" ht="13.5" x14ac:dyDescent="0.25">
      <c r="A6" t="s">
        <v>577</v>
      </c>
      <c r="B6" t="s">
        <v>578</v>
      </c>
      <c r="C6" t="s">
        <v>96</v>
      </c>
      <c r="D6" t="s">
        <v>58</v>
      </c>
      <c r="E6" t="s">
        <v>569</v>
      </c>
      <c r="F6" t="s">
        <v>579</v>
      </c>
      <c r="G6" t="s">
        <v>1</v>
      </c>
      <c r="H6" t="s">
        <v>566</v>
      </c>
    </row>
    <row r="7" spans="1:8" ht="13.5" x14ac:dyDescent="0.25">
      <c r="A7" t="s">
        <v>580</v>
      </c>
      <c r="B7" t="s">
        <v>581</v>
      </c>
      <c r="C7" t="s">
        <v>582</v>
      </c>
      <c r="D7" t="s">
        <v>58</v>
      </c>
      <c r="E7" t="s">
        <v>569</v>
      </c>
      <c r="F7" t="s">
        <v>583</v>
      </c>
      <c r="G7" t="s">
        <v>1</v>
      </c>
      <c r="H7" t="s">
        <v>566</v>
      </c>
    </row>
    <row r="8" spans="1:8" ht="13.5" x14ac:dyDescent="0.25">
      <c r="A8" t="s">
        <v>584</v>
      </c>
      <c r="B8" t="s">
        <v>585</v>
      </c>
      <c r="C8" t="s">
        <v>32</v>
      </c>
      <c r="D8" t="s">
        <v>74</v>
      </c>
      <c r="E8" t="s">
        <v>564</v>
      </c>
      <c r="F8" t="s">
        <v>586</v>
      </c>
      <c r="G8" t="s">
        <v>120</v>
      </c>
      <c r="H8" t="s">
        <v>566</v>
      </c>
    </row>
    <row r="9" spans="1:8" ht="13.5" x14ac:dyDescent="0.25">
      <c r="A9" t="s">
        <v>587</v>
      </c>
      <c r="B9" t="s">
        <v>588</v>
      </c>
      <c r="C9" t="s">
        <v>582</v>
      </c>
      <c r="D9" t="s">
        <v>74</v>
      </c>
      <c r="E9" t="s">
        <v>589</v>
      </c>
      <c r="F9" t="s">
        <v>590</v>
      </c>
      <c r="G9" t="s">
        <v>1</v>
      </c>
      <c r="H9" t="s">
        <v>566</v>
      </c>
    </row>
    <row r="10" spans="1:8" ht="13.5" x14ac:dyDescent="0.25">
      <c r="A10" t="s">
        <v>591</v>
      </c>
      <c r="B10" t="s">
        <v>592</v>
      </c>
      <c r="C10" t="s">
        <v>96</v>
      </c>
      <c r="D10" t="s">
        <v>58</v>
      </c>
      <c r="E10" t="s">
        <v>569</v>
      </c>
      <c r="F10" t="s">
        <v>593</v>
      </c>
      <c r="G10" t="s">
        <v>1</v>
      </c>
      <c r="H10" t="s">
        <v>566</v>
      </c>
    </row>
    <row r="11" spans="1:8" ht="13.5" x14ac:dyDescent="0.25">
      <c r="A11" t="s">
        <v>594</v>
      </c>
      <c r="B11" t="s">
        <v>595</v>
      </c>
      <c r="C11" t="s">
        <v>96</v>
      </c>
      <c r="D11" t="s">
        <v>74</v>
      </c>
      <c r="E11" t="s">
        <v>569</v>
      </c>
      <c r="F11" t="s">
        <v>596</v>
      </c>
      <c r="G11" t="s">
        <v>1</v>
      </c>
      <c r="H11" t="s">
        <v>566</v>
      </c>
    </row>
    <row r="12" spans="1:8" ht="13.5" x14ac:dyDescent="0.25">
      <c r="A12" t="s">
        <v>597</v>
      </c>
      <c r="B12" t="s">
        <v>598</v>
      </c>
      <c r="C12" t="s">
        <v>189</v>
      </c>
      <c r="D12" t="s">
        <v>58</v>
      </c>
      <c r="E12" t="s">
        <v>564</v>
      </c>
      <c r="F12" t="s">
        <v>599</v>
      </c>
      <c r="G12" t="s">
        <v>175</v>
      </c>
      <c r="H12" t="s">
        <v>566</v>
      </c>
    </row>
    <row r="13" spans="1:8" ht="13.5" x14ac:dyDescent="0.25">
      <c r="A13" t="s">
        <v>600</v>
      </c>
      <c r="B13" t="s">
        <v>601</v>
      </c>
      <c r="C13" t="s">
        <v>189</v>
      </c>
      <c r="D13" t="s">
        <v>58</v>
      </c>
      <c r="E13" t="s">
        <v>564</v>
      </c>
      <c r="F13" t="s">
        <v>602</v>
      </c>
      <c r="G13" t="s">
        <v>175</v>
      </c>
      <c r="H13" t="s">
        <v>566</v>
      </c>
    </row>
    <row r="14" spans="1:8" ht="13.5" x14ac:dyDescent="0.25">
      <c r="A14" t="s">
        <v>603</v>
      </c>
      <c r="B14" t="s">
        <v>604</v>
      </c>
      <c r="C14" t="s">
        <v>179</v>
      </c>
      <c r="D14" t="s">
        <v>58</v>
      </c>
      <c r="E14" t="s">
        <v>569</v>
      </c>
      <c r="F14" t="s">
        <v>605</v>
      </c>
      <c r="G14" t="s">
        <v>182</v>
      </c>
      <c r="H14" t="s">
        <v>566</v>
      </c>
    </row>
    <row r="15" spans="1:8" ht="13.5" x14ac:dyDescent="0.25">
      <c r="A15" t="s">
        <v>606</v>
      </c>
      <c r="B15" t="s">
        <v>607</v>
      </c>
      <c r="C15" t="s">
        <v>194</v>
      </c>
      <c r="D15" t="s">
        <v>74</v>
      </c>
      <c r="E15" t="s">
        <v>564</v>
      </c>
      <c r="F15" t="s">
        <v>608</v>
      </c>
      <c r="G15" t="s">
        <v>120</v>
      </c>
      <c r="H15" t="s">
        <v>566</v>
      </c>
    </row>
  </sheetData>
  <autoFilter ref="A1:H15" xr:uid="{00000000-0009-0000-0000-000003000000}"/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 spans="1:5" ht="27" x14ac:dyDescent="0.25">
      <c r="A1" s="1" t="s">
        <v>609</v>
      </c>
      <c r="B1" s="1" t="s">
        <v>1</v>
      </c>
      <c r="C1" s="1" t="s">
        <v>1</v>
      </c>
      <c r="D1" s="1" t="s">
        <v>1</v>
      </c>
      <c r="E1" s="1" t="s">
        <v>1</v>
      </c>
    </row>
    <row r="2" spans="1:5" ht="13.5" x14ac:dyDescent="0.25">
      <c r="A2" t="s">
        <v>610</v>
      </c>
      <c r="B2" t="s">
        <v>611</v>
      </c>
      <c r="C2" t="s">
        <v>1</v>
      </c>
      <c r="D2" t="s">
        <v>1</v>
      </c>
      <c r="E2" t="s">
        <v>1</v>
      </c>
    </row>
    <row r="3" spans="1:5" ht="13.5" x14ac:dyDescent="0.25">
      <c r="A3" t="s">
        <v>612</v>
      </c>
      <c r="B3" t="s">
        <v>106</v>
      </c>
      <c r="C3" t="s">
        <v>1</v>
      </c>
      <c r="D3" t="s">
        <v>1</v>
      </c>
      <c r="E3" t="s">
        <v>1</v>
      </c>
    </row>
    <row r="4" spans="1:5" ht="13.5" x14ac:dyDescent="0.25">
      <c r="A4" t="s">
        <v>613</v>
      </c>
      <c r="B4" t="s">
        <v>614</v>
      </c>
      <c r="C4" t="s">
        <v>1</v>
      </c>
      <c r="D4" t="s">
        <v>1</v>
      </c>
      <c r="E4" t="s">
        <v>1</v>
      </c>
    </row>
    <row r="5" spans="1:5" ht="13.5" x14ac:dyDescent="0.25">
      <c r="A5" t="s">
        <v>1</v>
      </c>
      <c r="B5" t="s">
        <v>1</v>
      </c>
      <c r="C5" t="s">
        <v>1</v>
      </c>
      <c r="D5" t="s">
        <v>1</v>
      </c>
      <c r="E5" t="s">
        <v>1</v>
      </c>
    </row>
    <row r="6" spans="1:5" ht="13.5" x14ac:dyDescent="0.25">
      <c r="A6" t="s">
        <v>615</v>
      </c>
      <c r="B6" t="s">
        <v>616</v>
      </c>
      <c r="C6" t="s">
        <v>617</v>
      </c>
      <c r="D6" t="s">
        <v>618</v>
      </c>
      <c r="E6" t="s">
        <v>619</v>
      </c>
    </row>
    <row r="7" spans="1:5" ht="13.5" x14ac:dyDescent="0.25">
      <c r="A7" t="s">
        <v>620</v>
      </c>
      <c r="B7" t="s">
        <v>621</v>
      </c>
      <c r="C7" t="s">
        <v>622</v>
      </c>
      <c r="D7" t="s">
        <v>116</v>
      </c>
      <c r="E7" t="s">
        <v>623</v>
      </c>
    </row>
    <row r="8" spans="1:5" ht="13.5" x14ac:dyDescent="0.25">
      <c r="A8" t="s">
        <v>624</v>
      </c>
      <c r="B8" t="s">
        <v>625</v>
      </c>
      <c r="C8" t="s">
        <v>626</v>
      </c>
      <c r="D8" t="s">
        <v>116</v>
      </c>
      <c r="E8" t="s">
        <v>627</v>
      </c>
    </row>
    <row r="9" spans="1:5" ht="13.5" x14ac:dyDescent="0.25">
      <c r="A9" t="s">
        <v>628</v>
      </c>
      <c r="B9" t="s">
        <v>629</v>
      </c>
      <c r="C9" t="s">
        <v>90</v>
      </c>
      <c r="D9" t="s">
        <v>116</v>
      </c>
      <c r="E9" t="s">
        <v>627</v>
      </c>
    </row>
    <row r="10" spans="1:5" ht="13.5" x14ac:dyDescent="0.25">
      <c r="A10" t="s">
        <v>630</v>
      </c>
      <c r="B10" t="s">
        <v>631</v>
      </c>
      <c r="C10" t="s">
        <v>99</v>
      </c>
      <c r="D10" t="s">
        <v>116</v>
      </c>
      <c r="E10" t="s">
        <v>623</v>
      </c>
    </row>
    <row r="11" spans="1:5" ht="13.5" x14ac:dyDescent="0.25">
      <c r="A11" t="s">
        <v>11</v>
      </c>
      <c r="B11" t="s">
        <v>632</v>
      </c>
      <c r="C11" t="s">
        <v>633</v>
      </c>
      <c r="D11" t="s">
        <v>11</v>
      </c>
      <c r="E11" t="s">
        <v>634</v>
      </c>
    </row>
    <row r="12" spans="1:5" ht="13.5" x14ac:dyDescent="0.25">
      <c r="A12" t="s">
        <v>635</v>
      </c>
      <c r="B12" t="s">
        <v>636</v>
      </c>
      <c r="C12" t="s">
        <v>637</v>
      </c>
      <c r="D12" t="s">
        <v>11</v>
      </c>
      <c r="E12" t="s">
        <v>638</v>
      </c>
    </row>
    <row r="13" spans="1:5" ht="13.5" x14ac:dyDescent="0.25">
      <c r="A13" t="s">
        <v>639</v>
      </c>
      <c r="B13" t="s">
        <v>640</v>
      </c>
      <c r="C13" t="s">
        <v>637</v>
      </c>
      <c r="D13" t="s">
        <v>11</v>
      </c>
      <c r="E13" t="s">
        <v>641</v>
      </c>
    </row>
    <row r="14" spans="1:5" ht="13.5" x14ac:dyDescent="0.25">
      <c r="A14" t="s">
        <v>642</v>
      </c>
      <c r="B14" t="s">
        <v>643</v>
      </c>
      <c r="C14" t="s">
        <v>644</v>
      </c>
      <c r="D14" t="s">
        <v>11</v>
      </c>
      <c r="E14" t="s">
        <v>645</v>
      </c>
    </row>
    <row r="15" spans="1:5" ht="13.5" x14ac:dyDescent="0.25">
      <c r="A15" t="s">
        <v>54</v>
      </c>
      <c r="B15" t="s">
        <v>646</v>
      </c>
      <c r="C15" t="s">
        <v>622</v>
      </c>
      <c r="D15" t="s">
        <v>54</v>
      </c>
      <c r="E15" t="s">
        <v>627</v>
      </c>
    </row>
    <row r="16" spans="1:5" ht="13.5" x14ac:dyDescent="0.25">
      <c r="A16" t="s">
        <v>647</v>
      </c>
      <c r="B16" t="s">
        <v>648</v>
      </c>
      <c r="C16" t="s">
        <v>622</v>
      </c>
      <c r="D16" t="s">
        <v>647</v>
      </c>
      <c r="E16" t="s">
        <v>623</v>
      </c>
    </row>
    <row r="17" spans="1:5" ht="13.5" x14ac:dyDescent="0.25">
      <c r="A17" t="s">
        <v>1</v>
      </c>
      <c r="B17" t="s">
        <v>1</v>
      </c>
      <c r="C17" t="s">
        <v>1</v>
      </c>
      <c r="D17" t="s">
        <v>1</v>
      </c>
      <c r="E17" t="s">
        <v>1</v>
      </c>
    </row>
    <row r="18" spans="1:5" ht="13.5" x14ac:dyDescent="0.25">
      <c r="A18" t="s">
        <v>649</v>
      </c>
      <c r="B18" t="s">
        <v>650</v>
      </c>
      <c r="C18" t="s">
        <v>651</v>
      </c>
      <c r="D18" t="s">
        <v>652</v>
      </c>
      <c r="E18" t="s">
        <v>653</v>
      </c>
    </row>
    <row r="19" spans="1:5" ht="13.5" x14ac:dyDescent="0.25">
      <c r="A19" t="s">
        <v>654</v>
      </c>
      <c r="B19" t="s">
        <v>655</v>
      </c>
      <c r="C19" t="s">
        <v>656</v>
      </c>
      <c r="D19" t="s">
        <v>623</v>
      </c>
      <c r="E19" t="s">
        <v>657</v>
      </c>
    </row>
    <row r="20" spans="1:5" ht="13.5" x14ac:dyDescent="0.25">
      <c r="A20" t="s">
        <v>628</v>
      </c>
      <c r="B20" t="s">
        <v>655</v>
      </c>
      <c r="C20" t="s">
        <v>658</v>
      </c>
      <c r="D20" t="s">
        <v>627</v>
      </c>
      <c r="E20" t="s">
        <v>659</v>
      </c>
    </row>
    <row r="21" spans="1:5" ht="13.5" x14ac:dyDescent="0.25">
      <c r="A21" t="s">
        <v>23</v>
      </c>
      <c r="B21" t="s">
        <v>660</v>
      </c>
      <c r="C21" t="s">
        <v>661</v>
      </c>
      <c r="D21" t="s">
        <v>623</v>
      </c>
      <c r="E21" t="s">
        <v>662</v>
      </c>
    </row>
    <row r="22" spans="1:5" ht="13.5" x14ac:dyDescent="0.25">
      <c r="A22" t="s">
        <v>663</v>
      </c>
      <c r="B22" t="s">
        <v>664</v>
      </c>
      <c r="C22" t="s">
        <v>665</v>
      </c>
      <c r="D22" t="s">
        <v>666</v>
      </c>
      <c r="E22" t="s">
        <v>667</v>
      </c>
    </row>
    <row r="23" spans="1:5" ht="13.5" x14ac:dyDescent="0.25">
      <c r="A23" t="s">
        <v>668</v>
      </c>
      <c r="B23" t="s">
        <v>655</v>
      </c>
      <c r="C23" t="s">
        <v>669</v>
      </c>
      <c r="D23" t="s">
        <v>670</v>
      </c>
      <c r="E23" t="s">
        <v>671</v>
      </c>
    </row>
    <row r="24" spans="1:5" ht="13.5" x14ac:dyDescent="0.25">
      <c r="A24" t="s">
        <v>672</v>
      </c>
      <c r="B24" t="s">
        <v>655</v>
      </c>
      <c r="C24" t="s">
        <v>669</v>
      </c>
      <c r="D24" t="s">
        <v>673</v>
      </c>
      <c r="E24" t="s">
        <v>674</v>
      </c>
    </row>
    <row r="25" spans="1:5" ht="13.5" x14ac:dyDescent="0.25">
      <c r="A25" t="s">
        <v>675</v>
      </c>
      <c r="B25" t="s">
        <v>676</v>
      </c>
      <c r="C25" t="s">
        <v>658</v>
      </c>
      <c r="D25" t="s">
        <v>623</v>
      </c>
      <c r="E25" t="s">
        <v>677</v>
      </c>
    </row>
    <row r="26" spans="1:5" ht="13.5" x14ac:dyDescent="0.25">
      <c r="A26" t="s">
        <v>678</v>
      </c>
      <c r="B26" t="s">
        <v>676</v>
      </c>
      <c r="C26" t="s">
        <v>669</v>
      </c>
      <c r="D26" t="s">
        <v>679</v>
      </c>
      <c r="E26" t="s">
        <v>680</v>
      </c>
    </row>
    <row r="27" spans="1:5" ht="13.5" x14ac:dyDescent="0.25">
      <c r="A27" t="s">
        <v>681</v>
      </c>
      <c r="B27" t="s">
        <v>682</v>
      </c>
      <c r="C27" t="s">
        <v>658</v>
      </c>
      <c r="D27" t="s">
        <v>623</v>
      </c>
      <c r="E27" t="s">
        <v>683</v>
      </c>
    </row>
    <row r="28" spans="1:5" ht="13.5" x14ac:dyDescent="0.25">
      <c r="A28" t="s">
        <v>684</v>
      </c>
      <c r="B28" t="s">
        <v>685</v>
      </c>
      <c r="C28" t="s">
        <v>686</v>
      </c>
      <c r="D28" t="s">
        <v>623</v>
      </c>
      <c r="E28" t="s">
        <v>687</v>
      </c>
    </row>
    <row r="29" spans="1:5" ht="13.5" x14ac:dyDescent="0.25">
      <c r="A29" t="s">
        <v>1</v>
      </c>
      <c r="B29" t="s">
        <v>1</v>
      </c>
      <c r="C29" t="s">
        <v>1</v>
      </c>
      <c r="D29" t="s">
        <v>1</v>
      </c>
      <c r="E29" t="s">
        <v>1</v>
      </c>
    </row>
    <row r="30" spans="1:5" ht="13.5" x14ac:dyDescent="0.25">
      <c r="A30" t="s">
        <v>688</v>
      </c>
      <c r="B30" t="s">
        <v>689</v>
      </c>
      <c r="C30" t="s">
        <v>1</v>
      </c>
      <c r="D30" t="s">
        <v>1</v>
      </c>
      <c r="E30" t="s">
        <v>1</v>
      </c>
    </row>
    <row r="31" spans="1:5" ht="13.5" x14ac:dyDescent="0.25">
      <c r="A31" t="s">
        <v>690</v>
      </c>
      <c r="B31" t="s">
        <v>691</v>
      </c>
      <c r="C31" t="s">
        <v>1</v>
      </c>
      <c r="D31" t="s">
        <v>1</v>
      </c>
      <c r="E31" t="s">
        <v>1</v>
      </c>
    </row>
    <row r="32" spans="1:5" ht="13.5" x14ac:dyDescent="0.25">
      <c r="A32" t="s">
        <v>692</v>
      </c>
      <c r="B32" t="s">
        <v>693</v>
      </c>
      <c r="C32" t="s">
        <v>1</v>
      </c>
      <c r="D32" t="s">
        <v>1</v>
      </c>
      <c r="E32" t="s">
        <v>1</v>
      </c>
    </row>
    <row r="33" spans="1:5" ht="13.5" x14ac:dyDescent="0.25">
      <c r="A33" t="s">
        <v>694</v>
      </c>
      <c r="B33" t="s">
        <v>695</v>
      </c>
      <c r="C33" t="s">
        <v>1</v>
      </c>
      <c r="D33" t="s">
        <v>1</v>
      </c>
      <c r="E33" t="s">
        <v>1</v>
      </c>
    </row>
    <row r="34" spans="1:5" ht="13.5" x14ac:dyDescent="0.25">
      <c r="A34" t="s">
        <v>696</v>
      </c>
      <c r="B34" t="s">
        <v>697</v>
      </c>
      <c r="C34" t="s">
        <v>1</v>
      </c>
      <c r="D34" t="s">
        <v>1</v>
      </c>
      <c r="E34" t="s">
        <v>1</v>
      </c>
    </row>
    <row r="35" spans="1:5" ht="13.5" x14ac:dyDescent="0.25">
      <c r="A35" t="s">
        <v>1</v>
      </c>
      <c r="B35" t="s">
        <v>1</v>
      </c>
      <c r="C35" t="s">
        <v>1</v>
      </c>
      <c r="D35" t="s">
        <v>1</v>
      </c>
      <c r="E35" t="s">
        <v>1</v>
      </c>
    </row>
    <row r="36" spans="1:5" ht="13.5" x14ac:dyDescent="0.25">
      <c r="A36" t="s">
        <v>698</v>
      </c>
      <c r="B36" t="s">
        <v>689</v>
      </c>
      <c r="C36" t="s">
        <v>1</v>
      </c>
      <c r="D36" t="s">
        <v>1</v>
      </c>
      <c r="E36" t="s">
        <v>1</v>
      </c>
    </row>
    <row r="37" spans="1:5" ht="13.5" x14ac:dyDescent="0.25">
      <c r="A37" t="s">
        <v>699</v>
      </c>
      <c r="B37" t="s">
        <v>700</v>
      </c>
      <c r="C37" t="s">
        <v>1</v>
      </c>
      <c r="D37" t="s">
        <v>1</v>
      </c>
      <c r="E37" t="s">
        <v>1</v>
      </c>
    </row>
    <row r="38" spans="1:5" ht="13.5" x14ac:dyDescent="0.25">
      <c r="A38" t="s">
        <v>701</v>
      </c>
      <c r="B38" t="s">
        <v>702</v>
      </c>
      <c r="C38" t="s">
        <v>1</v>
      </c>
      <c r="D38" t="s">
        <v>1</v>
      </c>
      <c r="E38" t="s">
        <v>1</v>
      </c>
    </row>
    <row r="39" spans="1:5" ht="13.5" x14ac:dyDescent="0.25">
      <c r="A39" t="s">
        <v>703</v>
      </c>
      <c r="B39" t="s">
        <v>704</v>
      </c>
      <c r="C39" t="s">
        <v>1</v>
      </c>
      <c r="D39" t="s">
        <v>1</v>
      </c>
      <c r="E39" t="s">
        <v>1</v>
      </c>
    </row>
    <row r="40" spans="1:5" ht="13.5" x14ac:dyDescent="0.25">
      <c r="A40" t="s">
        <v>705</v>
      </c>
      <c r="B40" t="s">
        <v>706</v>
      </c>
      <c r="C40" t="s">
        <v>1</v>
      </c>
      <c r="D40" t="s">
        <v>1</v>
      </c>
      <c r="E40" t="s">
        <v>1</v>
      </c>
    </row>
    <row r="41" spans="1:5" ht="13.5" x14ac:dyDescent="0.25">
      <c r="A41" t="s">
        <v>1</v>
      </c>
      <c r="B41" t="s">
        <v>1</v>
      </c>
      <c r="C41" t="s">
        <v>1</v>
      </c>
      <c r="D41" t="s">
        <v>1</v>
      </c>
      <c r="E41" t="s">
        <v>1</v>
      </c>
    </row>
    <row r="42" spans="1:5" ht="13.5" x14ac:dyDescent="0.25">
      <c r="A42" t="s">
        <v>707</v>
      </c>
      <c r="B42" t="s">
        <v>708</v>
      </c>
      <c r="C42" t="s">
        <v>709</v>
      </c>
      <c r="D42" t="s">
        <v>1</v>
      </c>
      <c r="E42" t="s">
        <v>1</v>
      </c>
    </row>
    <row r="43" spans="1:5" ht="13.5" x14ac:dyDescent="0.25">
      <c r="A43" t="s">
        <v>710</v>
      </c>
      <c r="B43" t="s">
        <v>711</v>
      </c>
      <c r="C43" t="s">
        <v>712</v>
      </c>
      <c r="D43" t="s">
        <v>1</v>
      </c>
      <c r="E43" t="s">
        <v>1</v>
      </c>
    </row>
    <row r="44" spans="1:5" ht="13.5" x14ac:dyDescent="0.25">
      <c r="A44" t="s">
        <v>713</v>
      </c>
      <c r="B44" t="s">
        <v>714</v>
      </c>
      <c r="C44" t="s">
        <v>715</v>
      </c>
      <c r="D44" t="s">
        <v>1</v>
      </c>
      <c r="E44" t="s">
        <v>1</v>
      </c>
    </row>
    <row r="45" spans="1:5" ht="13.5" x14ac:dyDescent="0.25">
      <c r="A45" t="s">
        <v>716</v>
      </c>
      <c r="B45" t="s">
        <v>717</v>
      </c>
      <c r="C45" t="s">
        <v>718</v>
      </c>
      <c r="D45" t="s">
        <v>1</v>
      </c>
      <c r="E45" t="s">
        <v>1</v>
      </c>
    </row>
    <row r="46" spans="1:5" ht="13.5" x14ac:dyDescent="0.25">
      <c r="A46" t="s">
        <v>719</v>
      </c>
      <c r="B46" t="s">
        <v>720</v>
      </c>
      <c r="C46" t="s">
        <v>721</v>
      </c>
      <c r="D46" t="s">
        <v>1</v>
      </c>
      <c r="E46" t="s">
        <v>1</v>
      </c>
    </row>
    <row r="47" spans="1:5" ht="13.5" x14ac:dyDescent="0.25">
      <c r="A47" t="s">
        <v>1</v>
      </c>
      <c r="B47" t="s">
        <v>1</v>
      </c>
      <c r="C47" t="s">
        <v>1</v>
      </c>
      <c r="D47" t="s">
        <v>1</v>
      </c>
      <c r="E47" t="s">
        <v>1</v>
      </c>
    </row>
    <row r="48" spans="1:5" ht="13.5" x14ac:dyDescent="0.25">
      <c r="A48" t="s">
        <v>722</v>
      </c>
      <c r="B48" t="s">
        <v>723</v>
      </c>
      <c r="C48" t="s">
        <v>1</v>
      </c>
      <c r="D48" t="s">
        <v>1</v>
      </c>
      <c r="E48" t="s">
        <v>1</v>
      </c>
    </row>
    <row r="49" spans="1:5" ht="13.5" x14ac:dyDescent="0.25">
      <c r="A49" t="s">
        <v>724</v>
      </c>
      <c r="B49" t="s">
        <v>725</v>
      </c>
      <c r="C49" t="s">
        <v>1</v>
      </c>
      <c r="D49" t="s">
        <v>1</v>
      </c>
      <c r="E49" t="s">
        <v>1</v>
      </c>
    </row>
    <row r="50" spans="1:5" ht="13.5" x14ac:dyDescent="0.25">
      <c r="A50" t="s">
        <v>726</v>
      </c>
      <c r="B50" t="s">
        <v>727</v>
      </c>
      <c r="C50" t="s">
        <v>1</v>
      </c>
      <c r="D50" t="s">
        <v>1</v>
      </c>
      <c r="E50" t="s">
        <v>1</v>
      </c>
    </row>
    <row r="51" spans="1:5" ht="13.5" x14ac:dyDescent="0.25">
      <c r="A51" t="s">
        <v>728</v>
      </c>
      <c r="B51" t="s">
        <v>729</v>
      </c>
      <c r="C51" t="s">
        <v>1</v>
      </c>
      <c r="D51" t="s">
        <v>1</v>
      </c>
      <c r="E51" t="s">
        <v>1</v>
      </c>
    </row>
    <row r="52" spans="1:5" ht="13.5" x14ac:dyDescent="0.25">
      <c r="A52" t="s">
        <v>730</v>
      </c>
      <c r="B52" t="s">
        <v>731</v>
      </c>
      <c r="C52" t="s">
        <v>1</v>
      </c>
      <c r="D52" t="s">
        <v>1</v>
      </c>
      <c r="E52" t="s">
        <v>1</v>
      </c>
    </row>
    <row r="53" spans="1:5" ht="13.5" x14ac:dyDescent="0.25">
      <c r="A53" t="s">
        <v>732</v>
      </c>
      <c r="B53" t="s">
        <v>733</v>
      </c>
      <c r="C53" t="s">
        <v>1</v>
      </c>
      <c r="D53" t="s">
        <v>1</v>
      </c>
      <c r="E53" t="s">
        <v>1</v>
      </c>
    </row>
    <row r="54" spans="1:5" ht="13.5" x14ac:dyDescent="0.25">
      <c r="A54" t="s">
        <v>734</v>
      </c>
      <c r="B54" t="s">
        <v>735</v>
      </c>
      <c r="C54" t="s">
        <v>1</v>
      </c>
      <c r="D54" t="s">
        <v>1</v>
      </c>
      <c r="E54" t="s">
        <v>1</v>
      </c>
    </row>
    <row r="55" spans="1:5" ht="13.5" x14ac:dyDescent="0.25">
      <c r="A55" t="s">
        <v>736</v>
      </c>
      <c r="B55" t="s">
        <v>737</v>
      </c>
      <c r="C55" t="s">
        <v>1</v>
      </c>
      <c r="D55" t="s">
        <v>1</v>
      </c>
      <c r="E55" t="s">
        <v>1</v>
      </c>
    </row>
  </sheetData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Visão Geral</vt:lpstr>
      <vt:lpstr>Plano Mestre</vt:lpstr>
      <vt:lpstr>Marcos</vt:lpstr>
      <vt:lpstr>Riscos</vt:lpstr>
      <vt:lpstr>Governança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Lopes, Tatyele (CONTRACTOR)</cp:lastModifiedBy>
  <dcterms:modified xsi:type="dcterms:W3CDTF">2026-09-08T03:26:28Z</dcterms:modified>
</cp:coreProperties>
</file>