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16/09/2026 20:55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Mestre'!A2:A140)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Mestre'!I2:I140,"Concluído")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Mestre'!I2:I140,"Em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Mestre'!I2:I140,"Não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Mestre'!M2:M140)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Mestre'!J2:J140)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Mestre'!B2:B140,"Descoberta")</f>
        <v>0</v>
      </c>
      <c r="C12" s="2">
        <f>COUNTIFS('Plano Mestre'!B2:B140,"Descoberta",'Plano Mestre'!I2:I140,"Concluído")</f>
        <v>0</v>
      </c>
    </row>
    <row r="13">
      <c r="A13" s="0" t="inlineStr">
        <is>
          <t>Planejamento</t>
        </is>
      </c>
      <c r="B13" s="2">
        <f>COUNTIF('Plano Mestre'!B2:B140,"Planejamento")</f>
        <v>0</v>
      </c>
      <c r="C13" s="2">
        <f>COUNTIFS('Plano Mestre'!B2:B140,"Planejamento",'Plano Mestre'!I2:I140,"Concluído")</f>
        <v>0</v>
      </c>
    </row>
    <row r="14">
      <c r="A14" s="0" t="inlineStr">
        <is>
          <t>Marca</t>
        </is>
      </c>
      <c r="B14" s="2">
        <f>COUNTIF('Plano Mestre'!B2:B140,"Marca")</f>
        <v>0</v>
      </c>
      <c r="C14" s="2">
        <f>COUNTIFS('Plano Mestre'!B2:B140,"Marca",'Plano Mestre'!I2:I140,"Concluído")</f>
        <v>0</v>
      </c>
    </row>
    <row r="15">
      <c r="A15" s="0" t="inlineStr">
        <is>
          <t>UX/UI</t>
        </is>
      </c>
      <c r="B15" s="2">
        <f>COUNTIF('Plano Mestre'!B2:B140,"UX/UI")</f>
        <v>0</v>
      </c>
      <c r="C15" s="2">
        <f>COUNTIFS('Plano Mestre'!B2:B140,"UX/UI",'Plano Mestre'!I2:I140,"Concluído")</f>
        <v>0</v>
      </c>
    </row>
    <row r="16">
      <c r="A16" s="0" t="inlineStr">
        <is>
          <t>Arquitetura</t>
        </is>
      </c>
      <c r="B16" s="2">
        <f>COUNTIF('Plano Mestre'!B2:B140,"Arquitetura")</f>
        <v>0</v>
      </c>
      <c r="C16" s="2">
        <f>COUNTIFS('Plano Mestre'!B2:B140,"Arquitetura",'Plano Mestre'!I2:I140,"Concluído")</f>
        <v>0</v>
      </c>
    </row>
    <row r="17">
      <c r="A17" s="0" t="inlineStr">
        <is>
          <t>Infraestrutura</t>
        </is>
      </c>
      <c r="B17" s="2">
        <f>COUNTIF('Plano Mestre'!B2:B140,"Infraestrutura")</f>
        <v>0</v>
      </c>
      <c r="C17" s="2">
        <f>COUNTIFS('Plano Mestre'!B2:B140,"Infraestrutura",'Plano Mestre'!I2:I140,"Concluído")</f>
        <v>0</v>
      </c>
    </row>
    <row r="18">
      <c r="A18" s="0" t="inlineStr">
        <is>
          <t>Backend</t>
        </is>
      </c>
      <c r="B18" s="2">
        <f>COUNTIF('Plano Mestre'!B2:B140,"Backend")</f>
        <v>0</v>
      </c>
      <c r="C18" s="2">
        <f>COUNTIFS('Plano Mestre'!B2:B140,"Backend",'Plano Mestre'!I2:I140,"Concluído")</f>
        <v>0</v>
      </c>
    </row>
    <row r="19">
      <c r="A19" s="0" t="inlineStr">
        <is>
          <t>Frontend</t>
        </is>
      </c>
      <c r="B19" s="2">
        <f>COUNTIF('Plano Mestre'!B2:B140,"Frontend")</f>
        <v>0</v>
      </c>
      <c r="C19" s="2">
        <f>COUNTIFS('Plano Mestre'!B2:B140,"Frontend",'Plano Mestre'!I2:I140,"Concluído")</f>
        <v>0</v>
      </c>
    </row>
    <row r="20">
      <c r="A20" s="0" t="inlineStr">
        <is>
          <t>Conteúdo</t>
        </is>
      </c>
      <c r="B20" s="2">
        <f>COUNTIF('Plano Mestre'!B2:B140,"Conteúdo")</f>
        <v>0</v>
      </c>
      <c r="C20" s="2">
        <f>COUNTIFS('Plano Mestre'!B2:B140,"Conteúdo",'Plano Mestre'!I2:I140,"Concluído")</f>
        <v>0</v>
      </c>
    </row>
    <row r="21">
      <c r="A21" s="0" t="inlineStr">
        <is>
          <t>Qualidade</t>
        </is>
      </c>
      <c r="B21" s="2">
        <f>COUNTIF('Plano Mestre'!B2:B140,"Qualidade")</f>
        <v>0</v>
      </c>
      <c r="C21" s="2">
        <f>COUNTIFS('Plano Mestre'!B2:B140,"Qualidade",'Plano Mestre'!I2:I140,"Concluído")</f>
        <v>0</v>
      </c>
    </row>
    <row r="22">
      <c r="A22" s="0" t="inlineStr">
        <is>
          <t>Jurídico</t>
        </is>
      </c>
      <c r="B22" s="2">
        <f>COUNTIF('Plano Mestre'!B2:B140,"Jurídico")</f>
        <v>0</v>
      </c>
      <c r="C22" s="2">
        <f>COUNTIFS('Plano Mestre'!B2:B140,"Jurídico",'Plano Mestre'!I2:I140,"Concluído")</f>
        <v>0</v>
      </c>
    </row>
    <row r="23">
      <c r="A23" s="0" t="inlineStr">
        <is>
          <t>Lançamento</t>
        </is>
      </c>
      <c r="B23" s="2">
        <f>COUNTIF('Plano Mestre'!B2:B140,"Lançamento")</f>
        <v>0</v>
      </c>
      <c r="C23" s="2">
        <f>COUNTIFS('Plano Mestre'!B2:B140,"Lançamento",'Plano Mestre'!I2:I140,"Concluído")</f>
        <v>0</v>
      </c>
    </row>
    <row r="24">
      <c r="A24" s="0" t="inlineStr">
        <is>
          <t>Pós-lançamento</t>
        </is>
      </c>
      <c r="B24" s="2">
        <f>COUNTIF('Plano Mestre'!B2:B140,"Pós-lançamento")</f>
        <v>0</v>
      </c>
      <c r="C24" s="2">
        <f>COUNTIFS('Plano Mestre'!B2:B140,"Pós-lançamento",'Plano Mestre'!I2:I140,"Concluído")</f>
        <v>0</v>
      </c>
    </row>
    <row r="25">
      <c r="A25" s="0" t="inlineStr">
        <is>
          <t>MPV de teste</t>
        </is>
      </c>
      <c r="B25" s="2">
        <f>COUNTIF('Plano Mestre'!B2:B140,"MPV de teste")</f>
        <v>0</v>
      </c>
      <c r="C25" s="2">
        <f>COUNTIFS('Plano Mestre'!B2:B140,"MPV de teste",'Plano Mestre'!I2:I140,"Concluído")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Somente Descoberta a Dois e Adivinhe de Mim — sem pesquisa prévia cadastro pareamento remoto backend ou testes de personalidade neste teste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14/09/2026</t>
        </is>
      </c>
      <c r="M127" s="3">
        <v>1</v>
      </c>
      <c r="N127" s="0" t="inlineStr">
        <is>
          <t>Fluxo aprovado em docs/FLUXO-MPV.md com seis estados entrada direta dois jogos de três rodadas três sinais e sugestão opcional exceções e critérios de aceite — atualizado em 16/09/2026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15/09/2026</t>
        </is>
      </c>
      <c r="M129" s="3">
        <v>1</v>
      </c>
      <c r="N129" s="0" t="inlineStr">
        <is>
          <t>Entrada direta responsiva com seleção e instruções dos dois jogos implementada sem cadastro ou pareamento, com apresentação neutra sem o nome do aplicativo em título metadados cabeçalho ou rodapé e com o aplicativo completo preservado em src/App.tsx — atualizado em 14/09/2026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19/09/2026</t>
        </is>
      </c>
      <c r="M132" s="3">
        <v>1</v>
      </c>
      <c r="N132" s="0" t="inlineStr">
        <is>
          <t>Feedback binário compartilhado implementado nos dois jogos e integrado ao registro central do jogo concluído clareza descoberta ou conexão e intenção de jogar novamente sem conteúdo das rodadas — concluído antecipadamente em 12/09/2026 e integrado em 16/09/2026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Em andamento</t>
        </is>
      </c>
      <c r="J133" s="0">
        <v>5</v>
      </c>
      <c r="K133" s="0" t="inlineStr">
        <is>
          <t>20/09/2026</t>
        </is>
      </c>
      <c r="L133" s="0" t="inlineStr">
        <is>
          <t>20/09/2026</t>
        </is>
      </c>
      <c r="M133" s="3">
        <v>0.5</v>
      </c>
      <c r="N133" s="0" t="inlineStr">
        <is>
          <t>Matriz Chromium revalidada em 14/09/2026 com cinco viewports e 95 estados em docs/VALIDACAO-MOBILE-MPV-2026-09-14.md — MOB-01 a MOB-03 resolvidos, sem overflow ou exposição do nome do aplicativo e com toque pulo confirmação rotação fluxos completos e reinício aprovados — pendente somente passagem física em Chrome Android e Safari iOS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MOB-03 resolvido em 14/09/2026 com todos os alvos visíveis em pelo menos 44 px e nomes acessíveis aprovados na matriz móvel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Não iniciado</t>
        </is>
      </c>
      <c r="J135" s="0">
        <v>5</v>
      </c>
      <c r="K135" s="0" t="inlineStr">
        <is>
          <t>21/09/2026</t>
        </is>
      </c>
      <c r="L135" s="0" t="inlineStr">
        <is>
          <t>21/09/2026</t>
        </is>
      </c>
      <c r="M135" s="3">
        <v>0</v>
      </c>
      <c r="N135" s="0" t="inlineStr">
        <is>
          <t>Validadores cobrem caminhos felizes pulo limpeza de escolha reinício cancelamento de saída sugestão opcional persistência exportação e serviço integrado de produção — iniciar aceite formal após concluir 132 e 133 e confirmar troca entre jogos sem estado residual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16/09/2026</t>
        </is>
      </c>
      <c r="M136" s="3">
        <v>1</v>
      </c>
      <c r="N136" s="0" t="inlineStr">
        <is>
          <t>Demonstração HTTPS publicada no Render gratuito com Web Service PostgreSQL de 1 GB sonda de saúde CORS restrito bloqueio de indexação e segredo operacional — envio persistência e exportação validados base sintética removida e banco expira em 16/10/2026 sem backup — passagem física Android e iPhone continua na tarefa 132 antes de ampliar o teste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joga sem mediação e envia os três sinais do produto com sugestão de melhoria opcional — não há entrevistas nem etapa de pesquisa dentro do MPV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16/09/2026</t>
        </is>
      </c>
      <c r="M140" s="3">
        <v>1</v>
      </c>
      <c r="N140" s="0" t="inlineStr">
        <is>
          <t>POST anônimo com validação idempotência controle de origem rate limit armazenamento PostgreSQL remoto com fallback JSON local e exportação CSV protegida por token — concluído em 16/09/2026</t>
        </is>
      </c>
    </row>
  </sheetData>
  <autoFilter ref="A1:N140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Dois jogos jogáveis</t>
        </is>
      </c>
      <c r="C3" s="0">
        <v>131</v>
      </c>
      <c r="D3" s="0" t="inlineStr">
        <is>
          <t>Não iniciado</t>
        </is>
      </c>
      <c r="E3" s="0" t="inlineStr">
        <is>
          <t>Jornadas completas com lote mínimo e feedback no produto</t>
        </is>
      </c>
      <c r="F3" s="0" t="inlineStr">
        <is>
          <t>19/09/2026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135</v>
      </c>
      <c r="D4" s="0" t="inlineStr">
        <is>
          <t>Não iniciado</t>
        </is>
      </c>
      <c r="E4" s="0" t="inlineStr">
        <is>
          <t>QA crítico aprovado e link controlado disponível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Bloquear novas áreas no teste e exigir a retirada de um item para qualquer inclusão</t>
        </is>
      </c>
      <c r="G16" s="0" t="inlineStr">
        <is>
          <t>Product Owner — Tatyele Lopes</t>
        </is>
      </c>
      <c r="H16" s="0" t="inlineStr">
        <is>
          <t>Aberto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Equilibrar duração tema e quantidade de cartas entre os dois jogos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