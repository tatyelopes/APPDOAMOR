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Resumo" sheetId="2" state="visible" r:id="rId2"/>
    <sheet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2B2B2B"/>
      <sz val="11"/>
    </font>
    <font>
      <name val="Arial"/>
      <color rgb="00000000"/>
      <sz val="11"/>
    </font>
    <font>
      <name val="Arial"/>
      <b val="1"/>
      <color rgb="002B2B2B"/>
      <sz val="14"/>
    </font>
    <font>
      <name val="Arial"/>
      <i val="1"/>
      <color rgb="00555555"/>
      <sz val="10"/>
    </font>
    <font>
      <name val="Arial"/>
      <b val="1"/>
      <color rgb="002B2B2B"/>
      <sz val="13"/>
    </font>
  </fonts>
  <fills count="5">
    <fill>
      <patternFill/>
    </fill>
    <fill>
      <patternFill patternType="gray125"/>
    </fill>
    <fill>
      <patternFill patternType="solid">
        <fgColor rgb="00D4A94E"/>
        <bgColor rgb="00D4A94E"/>
      </patternFill>
    </fill>
    <fill>
      <patternFill patternType="solid">
        <fgColor rgb="00F5EEDC"/>
        <bgColor rgb="00F5EEDC"/>
      </patternFill>
    </fill>
    <fill>
      <patternFill patternType="solid">
        <fgColor rgb="00E7D6A8"/>
        <bgColor rgb="00E7D6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1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64" customWidth="1" min="3" max="3"/>
    <col width="16" customWidth="1" min="4" max="4"/>
    <col width="16" customWidth="1" min="5" max="5"/>
    <col width="36" customWidth="1" min="6" max="6"/>
  </cols>
  <sheetData>
    <row r="1">
      <c r="A1" s="1" t="inlineStr">
        <is>
          <t>Fase</t>
        </is>
      </c>
      <c r="B1" s="1" t="inlineStr">
        <is>
          <t>Área/Módulo</t>
        </is>
      </c>
      <c r="C1" s="1" t="inlineStr">
        <is>
          <t>Tarefa</t>
        </is>
      </c>
      <c r="D1" s="1" t="inlineStr">
        <is>
          <t>Status</t>
        </is>
      </c>
      <c r="E1" s="1" t="inlineStr">
        <is>
          <t>Data de Conclusão</t>
        </is>
      </c>
      <c r="F1" s="1" t="inlineStr">
        <is>
          <t>Observações</t>
        </is>
      </c>
    </row>
    <row r="2">
      <c r="A2" s="2" t="inlineStr">
        <is>
          <t>Fase 0</t>
        </is>
      </c>
      <c r="B2" s="3" t="inlineStr">
        <is>
          <t>Decisões de Produto</t>
        </is>
      </c>
      <c r="C2" s="3" t="inlineStr">
        <is>
          <t>Definir o nome comercial definitivo do aplicativo</t>
        </is>
      </c>
      <c r="D2" s="2" t="inlineStr">
        <is>
          <t>Pendente</t>
        </is>
      </c>
      <c r="E2" s="2" t="inlineStr"/>
      <c r="F2" s="3" t="inlineStr"/>
    </row>
    <row r="3">
      <c r="A3" s="4" t="inlineStr">
        <is>
          <t>Fase 0</t>
        </is>
      </c>
      <c r="B3" s="5" t="inlineStr">
        <is>
          <t>Decisões de Produto</t>
        </is>
      </c>
      <c r="C3" s="5" t="inlineStr">
        <is>
          <t>Definir a identidade visual final (Noite Aconchegante, Energia do Jogo ou Doce Minimalista)</t>
        </is>
      </c>
      <c r="D3" s="4" t="inlineStr">
        <is>
          <t>Pendente</t>
        </is>
      </c>
      <c r="E3" s="4" t="inlineStr"/>
      <c r="F3" s="5" t="inlineStr"/>
    </row>
    <row r="4">
      <c r="A4" s="2" t="inlineStr">
        <is>
          <t>Fase 0</t>
        </is>
      </c>
      <c r="B4" s="3" t="inlineStr">
        <is>
          <t>Decisões de Produto</t>
        </is>
      </c>
      <c r="C4" s="3" t="inlineStr">
        <is>
          <t>Definir o público-alvo prioritário (namoro, noivado ou casamento)</t>
        </is>
      </c>
      <c r="D4" s="2" t="inlineStr">
        <is>
          <t>Pendente</t>
        </is>
      </c>
      <c r="E4" s="2" t="inlineStr"/>
      <c r="F4" s="3" t="inlineStr"/>
    </row>
    <row r="5">
      <c r="A5" s="4" t="inlineStr">
        <is>
          <t>Fase 0</t>
        </is>
      </c>
      <c r="B5" s="5" t="inlineStr">
        <is>
          <t>Decisões de Produto</t>
        </is>
      </c>
      <c r="C5" s="5" t="inlineStr">
        <is>
          <t>Definir a estratégia de internacionalização e idiomas (Português inicial, Inglês subsequente)</t>
        </is>
      </c>
      <c r="D5" s="4" t="inlineStr">
        <is>
          <t>Pendente</t>
        </is>
      </c>
      <c r="E5" s="4" t="inlineStr"/>
      <c r="F5" s="5" t="inlineStr"/>
    </row>
    <row r="6">
      <c r="A6" s="2" t="inlineStr">
        <is>
          <t>Fase 0</t>
        </is>
      </c>
      <c r="B6" s="3" t="inlineStr">
        <is>
          <t>Decisões Técnicas</t>
        </is>
      </c>
      <c r="C6" s="3" t="inlineStr">
        <is>
          <t>Escolher o framework de desenvolvimento mobile (recomendação: React Native com Expo)</t>
        </is>
      </c>
      <c r="D6" s="2" t="inlineStr">
        <is>
          <t>Pendente</t>
        </is>
      </c>
      <c r="E6" s="2" t="inlineStr"/>
      <c r="F6" s="3" t="inlineStr"/>
    </row>
    <row r="7">
      <c r="A7" s="4" t="inlineStr">
        <is>
          <t>Fase 0</t>
        </is>
      </c>
      <c r="B7" s="5" t="inlineStr">
        <is>
          <t>Decisões Técnicas</t>
        </is>
      </c>
      <c r="C7" s="5" t="inlineStr">
        <is>
          <t>Escolher a infraestrutura de backend e banco de dados (recomendação: Supabase ou Firebase)</t>
        </is>
      </c>
      <c r="D7" s="4" t="inlineStr">
        <is>
          <t>Pendente</t>
        </is>
      </c>
      <c r="E7" s="4" t="inlineStr"/>
      <c r="F7" s="5" t="inlineStr"/>
    </row>
    <row r="8">
      <c r="A8" s="2" t="inlineStr">
        <is>
          <t>Fase 0</t>
        </is>
      </c>
      <c r="B8" s="3" t="inlineStr">
        <is>
          <t>Decisões Técnicas</t>
        </is>
      </c>
      <c r="C8" s="3" t="inlineStr">
        <is>
          <t>Definir as plataformas prioritárias de publicação (Google Play, App Store ou Web)</t>
        </is>
      </c>
      <c r="D8" s="2" t="inlineStr">
        <is>
          <t>Pendente</t>
        </is>
      </c>
      <c r="E8" s="2" t="inlineStr"/>
      <c r="F8" s="3" t="inlineStr"/>
    </row>
    <row r="9">
      <c r="A9" s="4" t="inlineStr">
        <is>
          <t>Fase 0</t>
        </is>
      </c>
      <c r="B9" s="5" t="inlineStr">
        <is>
          <t>Decisões Técnicas</t>
        </is>
      </c>
      <c r="C9" s="5" t="inlineStr">
        <is>
          <t>Estruturar a arquitetura e o padrão de pastas do repositório</t>
        </is>
      </c>
      <c r="D9" s="4" t="inlineStr">
        <is>
          <t>Pendente</t>
        </is>
      </c>
      <c r="E9" s="4" t="inlineStr"/>
      <c r="F9" s="5" t="inlineStr"/>
    </row>
    <row r="10">
      <c r="A10" s="2" t="inlineStr">
        <is>
          <t>Fase 0</t>
        </is>
      </c>
      <c r="B10" s="3" t="inlineStr">
        <is>
          <t>Ambiente e Ferramentas</t>
        </is>
      </c>
      <c r="C10" s="3" t="inlineStr">
        <is>
          <t>Instalar o ambiente Node.js e gerenciador de pacotes</t>
        </is>
      </c>
      <c r="D10" s="2" t="inlineStr">
        <is>
          <t>Pendente</t>
        </is>
      </c>
      <c r="E10" s="2" t="inlineStr"/>
      <c r="F10" s="3" t="inlineStr"/>
    </row>
    <row r="11">
      <c r="A11" s="4" t="inlineStr">
        <is>
          <t>Fase 0</t>
        </is>
      </c>
      <c r="B11" s="5" t="inlineStr">
        <is>
          <t>Ambiente e Ferramentas</t>
        </is>
      </c>
      <c r="C11" s="5" t="inlineStr">
        <is>
          <t>Configurar e autenticar a CLI do Codex</t>
        </is>
      </c>
      <c r="D11" s="4" t="inlineStr">
        <is>
          <t>Pendente</t>
        </is>
      </c>
      <c r="E11" s="4" t="inlineStr"/>
      <c r="F11" s="5" t="inlineStr"/>
    </row>
    <row r="12">
      <c r="A12" s="2" t="inlineStr">
        <is>
          <t>Fase 0</t>
        </is>
      </c>
      <c r="B12" s="3" t="inlineStr">
        <is>
          <t>Ambiente e Ferramentas</t>
        </is>
      </c>
      <c r="C12" s="3" t="inlineStr">
        <is>
          <t>Instalar e configurar o Claude Code</t>
        </is>
      </c>
      <c r="D12" s="2" t="inlineStr">
        <is>
          <t>Pendente</t>
        </is>
      </c>
      <c r="E12" s="2" t="inlineStr"/>
      <c r="F12" s="3" t="inlineStr"/>
    </row>
    <row r="13">
      <c r="A13" s="4" t="inlineStr">
        <is>
          <t>Fase 0</t>
        </is>
      </c>
      <c r="B13" s="5" t="inlineStr">
        <is>
          <t>Ambiente e Ferramentas</t>
        </is>
      </c>
      <c r="C13" s="5" t="inlineStr">
        <is>
          <t>Instalar e testar a CLI do Gemini</t>
        </is>
      </c>
      <c r="D13" s="4" t="inlineStr">
        <is>
          <t>Pendente</t>
        </is>
      </c>
      <c r="E13" s="4" t="inlineStr"/>
      <c r="F13" s="5" t="inlineStr"/>
    </row>
    <row r="14">
      <c r="A14" s="2" t="inlineStr">
        <is>
          <t>Fase 0</t>
        </is>
      </c>
      <c r="B14" s="3" t="inlineStr">
        <is>
          <t>Ambiente e Ferramentas</t>
        </is>
      </c>
      <c r="C14" s="3" t="inlineStr">
        <is>
          <t>Criar e parametrizar o repositório no GitHub (tatyelopes/APPDOAMOR)</t>
        </is>
      </c>
      <c r="D14" s="2" t="inlineStr">
        <is>
          <t>Concluída</t>
        </is>
      </c>
      <c r="E14" s="2" t="inlineStr"/>
      <c r="F14" s="3" t="inlineStr">
        <is>
          <t>Repositório criado</t>
        </is>
      </c>
    </row>
    <row r="15">
      <c r="A15" s="4" t="inlineStr">
        <is>
          <t>Fase 0</t>
        </is>
      </c>
      <c r="B15" s="5" t="inlineStr">
        <is>
          <t>Ambiente e Ferramentas</t>
        </is>
      </c>
      <c r="C15" s="5" t="inlineStr">
        <is>
          <t>Salvar e versionar os assets da identidade visual no repositório</t>
        </is>
      </c>
      <c r="D15" s="4" t="inlineStr">
        <is>
          <t>Concluída</t>
        </is>
      </c>
      <c r="E15" s="4" t="inlineStr"/>
      <c r="F15" s="5" t="inlineStr">
        <is>
          <t>Imagens e áudio enviados via git push</t>
        </is>
      </c>
    </row>
    <row r="16">
      <c r="A16" s="2" t="inlineStr">
        <is>
          <t>Fase 1</t>
        </is>
      </c>
      <c r="B16" s="3" t="inlineStr">
        <is>
          <t>Módulo 1 — Jogo de Perguntas (parcial)</t>
        </is>
      </c>
      <c r="C16" s="3" t="inlineStr">
        <is>
          <t>Criar a tela de onboarding, cadastro de usuários e pareamento do casal</t>
        </is>
      </c>
      <c r="D16" s="2" t="inlineStr">
        <is>
          <t>Pendente</t>
        </is>
      </c>
      <c r="E16" s="2" t="inlineStr"/>
      <c r="F16" s="3" t="inlineStr"/>
    </row>
    <row r="17">
      <c r="A17" s="4" t="inlineStr">
        <is>
          <t>Fase 1</t>
        </is>
      </c>
      <c r="B17" s="5" t="inlineStr">
        <is>
          <t>Módulo 1 — Jogo de Perguntas (parcial)</t>
        </is>
      </c>
      <c r="C17" s="5" t="inlineStr">
        <is>
          <t>Implementar o banco inicial de perguntas de Nível 1 (superficial) e Nível 2 (valores)</t>
        </is>
      </c>
      <c r="D17" s="4" t="inlineStr">
        <is>
          <t>Pendente</t>
        </is>
      </c>
      <c r="E17" s="4" t="inlineStr"/>
      <c r="F17" s="5" t="inlineStr"/>
    </row>
    <row r="18">
      <c r="A18" s="2" t="inlineStr">
        <is>
          <t>Fase 1</t>
        </is>
      </c>
      <c r="B18" s="3" t="inlineStr">
        <is>
          <t>Módulo 1 — Jogo de Perguntas (parcial)</t>
        </is>
      </c>
      <c r="C18" s="3" t="inlineStr">
        <is>
          <t>Categorizar o banco de dados temático (Finanças, Futuro, Família e Memórias)</t>
        </is>
      </c>
      <c r="D18" s="2" t="inlineStr">
        <is>
          <t>Pendente</t>
        </is>
      </c>
      <c r="E18" s="2" t="inlineStr"/>
      <c r="F18" s="3" t="inlineStr"/>
    </row>
    <row r="19">
      <c r="A19" s="4" t="inlineStr">
        <is>
          <t>Fase 1</t>
        </is>
      </c>
      <c r="B19" s="5" t="inlineStr">
        <is>
          <t>Módulo 1 — Jogo de Perguntas (parcial)</t>
        </is>
      </c>
      <c r="C19" s="5" t="inlineStr">
        <is>
          <t>Construir o fluxo de jogo: Pergunta → Resposta → Revelação Mútua → Feedback</t>
        </is>
      </c>
      <c r="D19" s="4" t="inlineStr">
        <is>
          <t>Pendente</t>
        </is>
      </c>
      <c r="E19" s="4" t="inlineStr"/>
      <c r="F19" s="5" t="inlineStr"/>
    </row>
    <row r="20">
      <c r="A20" s="2" t="inlineStr">
        <is>
          <t>Fase 1</t>
        </is>
      </c>
      <c r="B20" s="3" t="inlineStr">
        <is>
          <t>Módulo 1 — Jogo de Perguntas (parcial)</t>
        </is>
      </c>
      <c r="C20" s="3" t="inlineStr">
        <is>
          <t>Desenvolver a tela de encerramento e pontuação da sessão</t>
        </is>
      </c>
      <c r="D20" s="2" t="inlineStr">
        <is>
          <t>Pendente</t>
        </is>
      </c>
      <c r="E20" s="2" t="inlineStr"/>
      <c r="F20" s="3" t="inlineStr"/>
    </row>
    <row r="21">
      <c r="A21" s="4" t="inlineStr">
        <is>
          <t>Fase 1</t>
        </is>
      </c>
      <c r="B21" s="5" t="inlineStr">
        <is>
          <t>Módulo 4 — Teste das 5 Linguagens do Amor</t>
        </is>
      </c>
      <c r="C21" s="5" t="inlineStr">
        <is>
          <t>Cadastrar o banco de pares de afirmações (escolha forçada)</t>
        </is>
      </c>
      <c r="D21" s="4" t="inlineStr">
        <is>
          <t>Pendente</t>
        </is>
      </c>
      <c r="E21" s="4" t="inlineStr"/>
      <c r="F21" s="5" t="inlineStr"/>
    </row>
    <row r="22">
      <c r="A22" s="2" t="inlineStr">
        <is>
          <t>Fase 1</t>
        </is>
      </c>
      <c r="B22" s="3" t="inlineStr">
        <is>
          <t>Módulo 4 — Teste das 5 Linguagens do Amor</t>
        </is>
      </c>
      <c r="C22" s="3" t="inlineStr">
        <is>
          <t>Desenvolver o fluxo interativo de navegação do questionário</t>
        </is>
      </c>
      <c r="D22" s="2" t="inlineStr">
        <is>
          <t>Pendente</t>
        </is>
      </c>
      <c r="E22" s="2" t="inlineStr"/>
      <c r="F22" s="3" t="inlineStr"/>
    </row>
    <row r="23">
      <c r="A23" s="4" t="inlineStr">
        <is>
          <t>Fase 1</t>
        </is>
      </c>
      <c r="B23" s="5" t="inlineStr">
        <is>
          <t>Módulo 4 — Teste das 5 Linguagens do Amor</t>
        </is>
      </c>
      <c r="C23" s="5" t="inlineStr">
        <is>
          <t>Implementar o cálculo com separação entre Expressão e Recepção</t>
        </is>
      </c>
      <c r="D23" s="4" t="inlineStr">
        <is>
          <t>Pendente</t>
        </is>
      </c>
      <c r="E23" s="4" t="inlineStr"/>
      <c r="F23" s="5" t="inlineStr"/>
    </row>
    <row r="24">
      <c r="A24" s="2" t="inlineStr">
        <is>
          <t>Fase 1</t>
        </is>
      </c>
      <c r="B24" s="3" t="inlineStr">
        <is>
          <t>Módulo 4 — Teste das 5 Linguagens do Amor</t>
        </is>
      </c>
      <c r="C24" s="3" t="inlineStr">
        <is>
          <t>Criar a tela de resultado com cards educativos</t>
        </is>
      </c>
      <c r="D24" s="2" t="inlineStr">
        <is>
          <t>Pendente</t>
        </is>
      </c>
      <c r="E24" s="2" t="inlineStr"/>
      <c r="F24" s="3" t="inlineStr"/>
    </row>
    <row r="25">
      <c r="A25" s="4" t="inlineStr">
        <is>
          <t>Fase 1</t>
        </is>
      </c>
      <c r="B25" s="5" t="inlineStr">
        <is>
          <t>Módulo 5 — Análise das Linguagens (básico)</t>
        </is>
      </c>
      <c r="C25" s="5" t="inlineStr">
        <is>
          <t>Desenvolver o Mapa de Conexão (comparativo visual do casal)</t>
        </is>
      </c>
      <c r="D25" s="4" t="inlineStr">
        <is>
          <t>Pendente</t>
        </is>
      </c>
      <c r="E25" s="4" t="inlineStr"/>
      <c r="F25" s="5" t="inlineStr"/>
    </row>
    <row r="26">
      <c r="A26" s="2" t="inlineStr">
        <is>
          <t>Fase 1</t>
        </is>
      </c>
      <c r="B26" s="3" t="inlineStr">
        <is>
          <t>Módulo 5 — Análise das Linguagens (básico)</t>
        </is>
      </c>
      <c r="C26" s="3" t="inlineStr">
        <is>
          <t>Configurar o gerador de micro-dicas diárias</t>
        </is>
      </c>
      <c r="D26" s="2" t="inlineStr">
        <is>
          <t>Pendente</t>
        </is>
      </c>
      <c r="E26" s="2" t="inlineStr"/>
      <c r="F26" s="3" t="inlineStr"/>
    </row>
    <row r="27">
      <c r="A27" s="4" t="inlineStr">
        <is>
          <t>Fase 1</t>
        </is>
      </c>
      <c r="B27" s="5" t="inlineStr">
        <is>
          <t>Gamificação Básica</t>
        </is>
      </c>
      <c r="C27" s="5" t="inlineStr">
        <is>
          <t>Implementar o contador de Streaks de conexão</t>
        </is>
      </c>
      <c r="D27" s="4" t="inlineStr">
        <is>
          <t>Pendente</t>
        </is>
      </c>
      <c r="E27" s="4" t="inlineStr"/>
      <c r="F27" s="5" t="inlineStr"/>
    </row>
    <row r="28">
      <c r="A28" s="2" t="inlineStr">
        <is>
          <t>Fase 1</t>
        </is>
      </c>
      <c r="B28" s="3" t="inlineStr">
        <is>
          <t>Gamificação Básica</t>
        </is>
      </c>
      <c r="C28" s="3" t="inlineStr">
        <is>
          <t>Estruturar a atribuição de XP e progressão de nível básico</t>
        </is>
      </c>
      <c r="D28" s="2" t="inlineStr">
        <is>
          <t>Pendente</t>
        </is>
      </c>
      <c r="E28" s="2" t="inlineStr"/>
      <c r="F28" s="3" t="inlineStr"/>
    </row>
    <row r="29">
      <c r="A29" s="4" t="inlineStr">
        <is>
          <t>Fase 1</t>
        </is>
      </c>
      <c r="B29" s="5" t="inlineStr">
        <is>
          <t>Infraestrutura e Segurança</t>
        </is>
      </c>
      <c r="C29" s="5" t="inlineStr">
        <is>
          <t>Desenvolver fluxo seguro de autenticação (Cadastro, Login e Recuperação de Senha)</t>
        </is>
      </c>
      <c r="D29" s="4" t="inlineStr">
        <is>
          <t>Pendente</t>
        </is>
      </c>
      <c r="E29" s="4" t="inlineStr"/>
      <c r="F29" s="5" t="inlineStr"/>
    </row>
    <row r="30">
      <c r="A30" s="2" t="inlineStr">
        <is>
          <t>Fase 1</t>
        </is>
      </c>
      <c r="B30" s="3" t="inlineStr">
        <is>
          <t>Infraestrutura e Segurança</t>
        </is>
      </c>
      <c r="C30" s="3" t="inlineStr">
        <is>
          <t>Criar mecanismo de vinculação do casal via código único de convite</t>
        </is>
      </c>
      <c r="D30" s="2" t="inlineStr">
        <is>
          <t>Pendente</t>
        </is>
      </c>
      <c r="E30" s="2" t="inlineStr"/>
      <c r="F30" s="3" t="inlineStr"/>
    </row>
    <row r="31">
      <c r="A31" s="4" t="inlineStr">
        <is>
          <t>Fase 1</t>
        </is>
      </c>
      <c r="B31" s="5" t="inlineStr">
        <is>
          <t>Infraestrutura e Segurança</t>
        </is>
      </c>
      <c r="C31" s="5" t="inlineStr">
        <is>
          <t>Estruturar as tabelas para armazenamento e isolamento das respostas</t>
        </is>
      </c>
      <c r="D31" s="4" t="inlineStr">
        <is>
          <t>Pendente</t>
        </is>
      </c>
      <c r="E31" s="4" t="inlineStr"/>
      <c r="F31" s="5" t="inlineStr"/>
    </row>
    <row r="32">
      <c r="A32" s="2" t="inlineStr">
        <is>
          <t>Fase 1</t>
        </is>
      </c>
      <c r="B32" s="3" t="inlineStr">
        <is>
          <t>Infraestrutura e Segurança</t>
        </is>
      </c>
      <c r="C32" s="3" t="inlineStr">
        <is>
          <t>Redigir e publicar a Política de Privacidade e os Termos de Uso</t>
        </is>
      </c>
      <c r="D32" s="2" t="inlineStr">
        <is>
          <t>Pendente</t>
        </is>
      </c>
      <c r="E32" s="2" t="inlineStr"/>
      <c r="F32" s="3" t="inlineStr"/>
    </row>
    <row r="33">
      <c r="A33" s="4" t="inlineStr">
        <is>
          <t>Fase 2</t>
        </is>
      </c>
      <c r="B33" s="5" t="inlineStr">
        <is>
          <t>Módulo 2 — Teste dos 4 Temperamentos</t>
        </is>
      </c>
      <c r="C33" s="5" t="inlineStr">
        <is>
          <t>Cadastrar o banco de cenários situacionais avaliativos</t>
        </is>
      </c>
      <c r="D33" s="4" t="inlineStr">
        <is>
          <t>Pendente</t>
        </is>
      </c>
      <c r="E33" s="4" t="inlineStr"/>
      <c r="F33" s="5" t="inlineStr"/>
    </row>
    <row r="34">
      <c r="A34" s="2" t="inlineStr">
        <is>
          <t>Fase 2</t>
        </is>
      </c>
      <c r="B34" s="3" t="inlineStr">
        <is>
          <t>Módulo 2 — Teste dos 4 Temperamentos</t>
        </is>
      </c>
      <c r="C34" s="3" t="inlineStr">
        <is>
          <t>Construir o algoritmo de apuração percentual (Colérico, Sanguíneo, Fleumático, Melancólico)</t>
        </is>
      </c>
      <c r="D34" s="2" t="inlineStr">
        <is>
          <t>Pendente</t>
        </is>
      </c>
      <c r="E34" s="2" t="inlineStr"/>
      <c r="F34" s="3" t="inlineStr"/>
    </row>
    <row r="35">
      <c r="A35" s="4" t="inlineStr">
        <is>
          <t>Fase 2</t>
        </is>
      </c>
      <c r="B35" s="5" t="inlineStr">
        <is>
          <t>Módulo 2 — Teste dos 4 Temperamentos</t>
        </is>
      </c>
      <c r="C35" s="5" t="inlineStr">
        <is>
          <t>Desenvolver a tela de resultado contextualizada à dinâmica conjugal</t>
        </is>
      </c>
      <c r="D35" s="4" t="inlineStr">
        <is>
          <t>Pendente</t>
        </is>
      </c>
      <c r="E35" s="4" t="inlineStr"/>
      <c r="F35" s="5" t="inlineStr"/>
    </row>
    <row r="36">
      <c r="A36" s="2" t="inlineStr">
        <is>
          <t>Fase 2</t>
        </is>
      </c>
      <c r="B36" s="3" t="inlineStr">
        <is>
          <t>Módulo 3 — Análise de Combinação de Personalidades</t>
        </is>
      </c>
      <c r="C36" s="3" t="inlineStr">
        <is>
          <t>Mapear as 16 combinações da matriz 4x4 de temperamentos</t>
        </is>
      </c>
      <c r="D36" s="2" t="inlineStr">
        <is>
          <t>Pendente</t>
        </is>
      </c>
      <c r="E36" s="2" t="inlineStr"/>
      <c r="F36" s="3" t="inlineStr"/>
    </row>
    <row r="37">
      <c r="A37" s="4" t="inlineStr">
        <is>
          <t>Fase 2</t>
        </is>
      </c>
      <c r="B37" s="5" t="inlineStr">
        <is>
          <t>Módulo 3 — Análise de Combinação de Personalidades</t>
        </is>
      </c>
      <c r="C37" s="5" t="inlineStr">
        <is>
          <t>Elaborar o relatório de pontos fortes e zonas de atrito</t>
        </is>
      </c>
      <c r="D37" s="4" t="inlineStr">
        <is>
          <t>Pendente</t>
        </is>
      </c>
      <c r="E37" s="4" t="inlineStr"/>
      <c r="F37" s="5" t="inlineStr"/>
    </row>
    <row r="38">
      <c r="A38" s="2" t="inlineStr">
        <is>
          <t>Fase 2</t>
        </is>
      </c>
      <c r="B38" s="3" t="inlineStr">
        <is>
          <t>Módulo 3 — Análise de Combinação de Personalidades</t>
        </is>
      </c>
      <c r="C38" s="3" t="inlineStr">
        <is>
          <t>Implementar o gerador de planos de ação semanais (2 a 3 micro-ações)</t>
        </is>
      </c>
      <c r="D38" s="2" t="inlineStr">
        <is>
          <t>Pendente</t>
        </is>
      </c>
      <c r="E38" s="2" t="inlineStr"/>
      <c r="F38" s="3" t="inlineStr"/>
    </row>
    <row r="39">
      <c r="A39" s="4" t="inlineStr">
        <is>
          <t>Fase 2</t>
        </is>
      </c>
      <c r="B39" s="5" t="inlineStr">
        <is>
          <t>Módulo 1 — Desafios com Prova (completo)</t>
        </is>
      </c>
      <c r="C39" s="5" t="inlineStr">
        <is>
          <t>Implementar o envio e validação de provas (foto, áudio e check-in geolocalizado)</t>
        </is>
      </c>
      <c r="D39" s="4" t="inlineStr">
        <is>
          <t>Pendente</t>
        </is>
      </c>
      <c r="E39" s="4" t="inlineStr"/>
      <c r="F39" s="5" t="inlineStr"/>
    </row>
    <row r="40">
      <c r="A40" s="2" t="inlineStr">
        <is>
          <t>Fase 2</t>
        </is>
      </c>
      <c r="B40" s="3" t="inlineStr">
        <is>
          <t>Módulo 1 — Desafios com Prova (completo)</t>
        </is>
      </c>
      <c r="C40" s="3" t="inlineStr">
        <is>
          <t>Criar a fila de envio e aprovação de desafios pelo parceiro</t>
        </is>
      </c>
      <c r="D40" s="2" t="inlineStr">
        <is>
          <t>Pendente</t>
        </is>
      </c>
      <c r="E40" s="2" t="inlineStr"/>
      <c r="F40" s="3" t="inlineStr"/>
    </row>
    <row r="41">
      <c r="A41" s="4" t="inlineStr">
        <is>
          <t>Fase 2</t>
        </is>
      </c>
      <c r="B41" s="5" t="inlineStr">
        <is>
          <t>Módulo 1 — Desafios com Prova (completo)</t>
        </is>
      </c>
      <c r="C41" s="5" t="inlineStr">
        <is>
          <t>Estruturar as trilhas temáticas para sessões de Date Night (15 a 30 minutos)</t>
        </is>
      </c>
      <c r="D41" s="4" t="inlineStr">
        <is>
          <t>Pendente</t>
        </is>
      </c>
      <c r="E41" s="4" t="inlineStr"/>
      <c r="F41" s="5" t="inlineStr"/>
    </row>
    <row r="42">
      <c r="A42" s="2" t="inlineStr">
        <is>
          <t>Fase 2</t>
        </is>
      </c>
      <c r="B42" s="3" t="inlineStr">
        <is>
          <t>Módulo 5 — Análise Avançada de Linguagens</t>
        </is>
      </c>
      <c r="C42" s="3" t="inlineStr">
        <is>
          <t>Construir a matriz completa de Gap Analysis</t>
        </is>
      </c>
      <c r="D42" s="2" t="inlineStr">
        <is>
          <t>Pendente</t>
        </is>
      </c>
      <c r="E42" s="2" t="inlineStr"/>
      <c r="F42" s="3" t="inlineStr"/>
    </row>
    <row r="43">
      <c r="A43" s="4" t="inlineStr">
        <is>
          <t>Fase 2</t>
        </is>
      </c>
      <c r="B43" s="5" t="inlineStr">
        <is>
          <t>Módulo 5 — Análise Avançada de Linguagens</t>
        </is>
      </c>
      <c r="C43" s="5" t="inlineStr">
        <is>
          <t>Implementar as recomendações práticas para as 5 linguagens</t>
        </is>
      </c>
      <c r="D43" s="4" t="inlineStr">
        <is>
          <t>Pendente</t>
        </is>
      </c>
      <c r="E43" s="4" t="inlineStr"/>
      <c r="F43" s="5" t="inlineStr"/>
    </row>
    <row r="44">
      <c r="A44" s="2" t="inlineStr">
        <is>
          <t>Fase 2</t>
        </is>
      </c>
      <c r="B44" s="3" t="inlineStr">
        <is>
          <t>Monetização e Assinaturas</t>
        </is>
      </c>
      <c r="C44" s="3" t="inlineStr">
        <is>
          <t>Configurar a barreira de acesso Gratuito vs Premium</t>
        </is>
      </c>
      <c r="D44" s="2" t="inlineStr">
        <is>
          <t>Pendente</t>
        </is>
      </c>
      <c r="E44" s="2" t="inlineStr"/>
      <c r="F44" s="3" t="inlineStr"/>
    </row>
    <row r="45">
      <c r="A45" s="4" t="inlineStr">
        <is>
          <t>Fase 2</t>
        </is>
      </c>
      <c r="B45" s="5" t="inlineStr">
        <is>
          <t>Monetização e Assinaturas</t>
        </is>
      </c>
      <c r="C45" s="5" t="inlineStr">
        <is>
          <t>Integrar gateway de pagamento para assinaturas recorrentes</t>
        </is>
      </c>
      <c r="D45" s="4" t="inlineStr">
        <is>
          <t>Pendente</t>
        </is>
      </c>
      <c r="E45" s="4" t="inlineStr"/>
      <c r="F45" s="5" t="inlineStr"/>
    </row>
    <row r="46">
      <c r="A46" s="2" t="inlineStr">
        <is>
          <t>Fase 2</t>
        </is>
      </c>
      <c r="B46" s="3" t="inlineStr">
        <is>
          <t>Monetização e Assinaturas</t>
        </is>
      </c>
      <c r="C46" s="3" t="inlineStr">
        <is>
          <t>Bloquear conteúdos avançados (perguntas N2/N3 e relatórios) ao plano Premium</t>
        </is>
      </c>
      <c r="D46" s="2" t="inlineStr">
        <is>
          <t>Pendente</t>
        </is>
      </c>
      <c r="E46" s="2" t="inlineStr"/>
      <c r="F46" s="3" t="inlineStr"/>
    </row>
    <row r="47">
      <c r="A47" s="4" t="inlineStr">
        <is>
          <t>Fase 3</t>
        </is>
      </c>
      <c r="B47" s="5" t="inlineStr">
        <is>
          <t>Módulo 6 — Modo Multiplayer</t>
        </is>
      </c>
      <c r="C47" s="5" t="inlineStr">
        <is>
          <t>Desenvolver a mecânica da Guerra de Casais (quiz competitivo com placar)</t>
        </is>
      </c>
      <c r="D47" s="4" t="inlineStr">
        <is>
          <t>Pendente</t>
        </is>
      </c>
      <c r="E47" s="4" t="inlineStr"/>
      <c r="F47" s="5" t="inlineStr"/>
    </row>
    <row r="48">
      <c r="A48" s="2" t="inlineStr">
        <is>
          <t>Fase 3</t>
        </is>
      </c>
      <c r="B48" s="3" t="inlineStr">
        <is>
          <t>Módulo 6 — Modo Multiplayer</t>
        </is>
      </c>
      <c r="C48" s="3" t="inlineStr">
        <is>
          <t>Criar a dinâmica Adivinhe o Parceiro</t>
        </is>
      </c>
      <c r="D48" s="2" t="inlineStr">
        <is>
          <t>Pendente</t>
        </is>
      </c>
      <c r="E48" s="2" t="inlineStr"/>
      <c r="F48" s="3" t="inlineStr"/>
    </row>
    <row r="49">
      <c r="A49" s="4" t="inlineStr">
        <is>
          <t>Fase 3</t>
        </is>
      </c>
      <c r="B49" s="5" t="inlineStr">
        <is>
          <t>Módulo 6 — Modo Multiplayer</t>
        </is>
      </c>
      <c r="C49" s="5" t="inlineStr">
        <is>
          <t>Implementar o Party Mode (sessões rápidas de 15 minutos)</t>
        </is>
      </c>
      <c r="D49" s="4" t="inlineStr">
        <is>
          <t>Pendente</t>
        </is>
      </c>
      <c r="E49" s="4" t="inlineStr"/>
      <c r="F49" s="5" t="inlineStr"/>
    </row>
    <row r="50">
      <c r="A50" s="2" t="inlineStr">
        <is>
          <t>Fase 3</t>
        </is>
      </c>
      <c r="B50" s="3" t="inlineStr">
        <is>
          <t>Módulo 6 — Modo Multiplayer</t>
        </is>
      </c>
      <c r="C50" s="3" t="inlineStr">
        <is>
          <t>Implementar barreiras de privacidade (respostas íntimas restritas ao casal)</t>
        </is>
      </c>
      <c r="D50" s="2" t="inlineStr">
        <is>
          <t>Pendente</t>
        </is>
      </c>
      <c r="E50" s="2" t="inlineStr"/>
      <c r="F50" s="3" t="inlineStr"/>
    </row>
    <row r="51">
      <c r="A51" s="4" t="inlineStr">
        <is>
          <t>Fase 3</t>
        </is>
      </c>
      <c r="B51" s="5" t="inlineStr">
        <is>
          <t>Inteligência Artificial</t>
        </is>
      </c>
      <c r="C51" s="5" t="inlineStr">
        <is>
          <t>Desenvolver pipeline de IA para geração de perguntas personalizadas</t>
        </is>
      </c>
      <c r="D51" s="4" t="inlineStr">
        <is>
          <t>Pendente</t>
        </is>
      </c>
      <c r="E51" s="4" t="inlineStr"/>
      <c r="F51" s="5" t="inlineStr"/>
    </row>
    <row r="52">
      <c r="A52" s="2" t="inlineStr">
        <is>
          <t>Fase 3</t>
        </is>
      </c>
      <c r="B52" s="3" t="inlineStr">
        <is>
          <t>Inteligência Artificial</t>
        </is>
      </c>
      <c r="C52" s="3" t="inlineStr">
        <is>
          <t>Estabelecer camada híbrida de moderação (filtro de segurança e qualidade)</t>
        </is>
      </c>
      <c r="D52" s="2" t="inlineStr">
        <is>
          <t>Pendente</t>
        </is>
      </c>
      <c r="E52" s="2" t="inlineStr"/>
      <c r="F52" s="3" t="inlineStr"/>
    </row>
    <row r="53">
      <c r="A53" s="4" t="inlineStr">
        <is>
          <t>Fase 3</t>
        </is>
      </c>
      <c r="B53" s="5" t="inlineStr">
        <is>
          <t>Inteligência Artificial</t>
        </is>
      </c>
      <c r="C53" s="5" t="inlineStr">
        <is>
          <t>Construir o gerador inteligente de planos de ação personalizados</t>
        </is>
      </c>
      <c r="D53" s="4" t="inlineStr">
        <is>
          <t>Pendente</t>
        </is>
      </c>
      <c r="E53" s="4" t="inlineStr"/>
      <c r="F53" s="5" t="inlineStr"/>
    </row>
    <row r="54">
      <c r="A54" s="2" t="inlineStr">
        <is>
          <t>Fase 3</t>
        </is>
      </c>
      <c r="B54" s="3" t="inlineStr">
        <is>
          <t>Gamificação Avançada</t>
        </is>
      </c>
      <c r="C54" s="3" t="inlineStr">
        <is>
          <t>Desenvolver o relatório mensal "Nossa Conexão em Números"</t>
        </is>
      </c>
      <c r="D54" s="2" t="inlineStr">
        <is>
          <t>Pendente</t>
        </is>
      </c>
      <c r="E54" s="2" t="inlineStr"/>
      <c r="F54" s="3" t="inlineStr"/>
    </row>
    <row r="55">
      <c r="A55" s="4" t="inlineStr">
        <is>
          <t>Fase 3</t>
        </is>
      </c>
      <c r="B55" s="5" t="inlineStr">
        <is>
          <t>Gamificação Avançada</t>
        </is>
      </c>
      <c r="C55" s="5" t="inlineStr">
        <is>
          <t>Implementar sistema de Badges e conquistas desbloqueáveis</t>
        </is>
      </c>
      <c r="D55" s="4" t="inlineStr">
        <is>
          <t>Pendente</t>
        </is>
      </c>
      <c r="E55" s="4" t="inlineStr"/>
      <c r="F55" s="5" t="inlineStr"/>
    </row>
    <row r="56">
      <c r="A56" s="2" t="inlineStr">
        <is>
          <t>Fase 3</t>
        </is>
      </c>
      <c r="B56" s="3" t="inlineStr">
        <is>
          <t>Gamificação Avançada</t>
        </is>
      </c>
      <c r="C56" s="3" t="inlineStr">
        <is>
          <t>Criar liberação progressiva de pacotes temáticos por nível</t>
        </is>
      </c>
      <c r="D56" s="2" t="inlineStr">
        <is>
          <t>Pendente</t>
        </is>
      </c>
      <c r="E56" s="2" t="inlineStr"/>
      <c r="F56" s="3" t="inlineStr"/>
    </row>
    <row r="57">
      <c r="A57" s="4" t="inlineStr">
        <is>
          <t>Fase 4</t>
        </is>
      </c>
      <c r="B57" s="5" t="inlineStr">
        <is>
          <t>Lançamento</t>
        </is>
      </c>
      <c r="C57" s="5" t="inlineStr">
        <is>
          <t>Realizar bateria de testes (funcional, usabilidade e desempenho)</t>
        </is>
      </c>
      <c r="D57" s="4" t="inlineStr">
        <is>
          <t>Pendente</t>
        </is>
      </c>
      <c r="E57" s="4" t="inlineStr"/>
      <c r="F57" s="5" t="inlineStr"/>
    </row>
    <row r="58">
      <c r="A58" s="2" t="inlineStr">
        <is>
          <t>Fase 4</t>
        </is>
      </c>
      <c r="B58" s="3" t="inlineStr">
        <is>
          <t>Lançamento</t>
        </is>
      </c>
      <c r="C58" s="3" t="inlineStr">
        <is>
          <t>Executar auditoria de segurança e privacidade (criptografia e anonimização)</t>
        </is>
      </c>
      <c r="D58" s="2" t="inlineStr">
        <is>
          <t>Pendente</t>
        </is>
      </c>
      <c r="E58" s="2" t="inlineStr"/>
      <c r="F58" s="3" t="inlineStr"/>
    </row>
    <row r="59">
      <c r="A59" s="4" t="inlineStr">
        <is>
          <t>Fase 4</t>
        </is>
      </c>
      <c r="B59" s="5" t="inlineStr">
        <is>
          <t>Lançamento</t>
        </is>
      </c>
      <c r="C59" s="5" t="inlineStr">
        <is>
          <t>Validar a versão final dos Termos de Uso e Política de Privacidade</t>
        </is>
      </c>
      <c r="D59" s="4" t="inlineStr">
        <is>
          <t>Pendente</t>
        </is>
      </c>
      <c r="E59" s="4" t="inlineStr"/>
      <c r="F59" s="5" t="inlineStr"/>
    </row>
    <row r="60">
      <c r="A60" s="2" t="inlineStr">
        <is>
          <t>Fase 4</t>
        </is>
      </c>
      <c r="B60" s="3" t="inlineStr">
        <is>
          <t>Lançamento</t>
        </is>
      </c>
      <c r="C60" s="3" t="inlineStr">
        <is>
          <t>Concluir a publicação nas lojas (Google Play e App Store)</t>
        </is>
      </c>
      <c r="D60" s="2" t="inlineStr">
        <is>
          <t>Pendente</t>
        </is>
      </c>
      <c r="E60" s="2" t="inlineStr"/>
      <c r="F60" s="3" t="inlineStr"/>
    </row>
    <row r="61">
      <c r="A61" s="4" t="inlineStr">
        <is>
          <t>Fase 4</t>
        </is>
      </c>
      <c r="B61" s="5" t="inlineStr">
        <is>
          <t>Lançamento</t>
        </is>
      </c>
      <c r="C61" s="5" t="inlineStr">
        <is>
          <t>Publicar a Landing Page oficial de captação</t>
        </is>
      </c>
      <c r="D61" s="4" t="inlineStr">
        <is>
          <t>Pendente</t>
        </is>
      </c>
      <c r="E61" s="4" t="inlineStr"/>
      <c r="F61" s="5" t="inlineStr"/>
    </row>
    <row r="62">
      <c r="A62" s="2" t="inlineStr">
        <is>
          <t>Fase 4</t>
        </is>
      </c>
      <c r="B62" s="3" t="inlineStr">
        <is>
          <t>Lançamento</t>
        </is>
      </c>
      <c r="C62" s="3" t="inlineStr">
        <is>
          <t>Executar o plano de marketing e aquisição de primeiros usuários</t>
        </is>
      </c>
      <c r="D62" s="2" t="inlineStr">
        <is>
          <t>Pendente</t>
        </is>
      </c>
      <c r="E62" s="2" t="inlineStr"/>
      <c r="F62" s="3" t="inlineStr"/>
    </row>
    <row r="63">
      <c r="A63" s="4" t="inlineStr">
        <is>
          <t>Fase 4</t>
        </is>
      </c>
      <c r="B63" s="5" t="inlineStr">
        <is>
          <t>Lançamento</t>
        </is>
      </c>
      <c r="C63" s="5" t="inlineStr">
        <is>
          <t>Implementar painel de métricas (DAU, MAU, retenção e conversão)</t>
        </is>
      </c>
      <c r="D63" s="4" t="inlineStr">
        <is>
          <t>Pendente</t>
        </is>
      </c>
      <c r="E63" s="4" t="inlineStr"/>
      <c r="F63" s="5" t="inlineStr"/>
    </row>
    <row r="64">
      <c r="A64" s="2" t="inlineStr">
        <is>
          <t>Fase 4</t>
        </is>
      </c>
      <c r="B64" s="3" t="inlineStr">
        <is>
          <t>Lançamento</t>
        </is>
      </c>
      <c r="C64" s="3" t="inlineStr">
        <is>
          <t>Estabelecer ciclo de suporte e iteração com feedback dos usuários</t>
        </is>
      </c>
      <c r="D64" s="2" t="inlineStr">
        <is>
          <t>Pendente</t>
        </is>
      </c>
      <c r="E64" s="2" t="inlineStr"/>
      <c r="F64" s="3" t="inlineStr"/>
    </row>
  </sheetData>
  <dataValidations count="1">
    <dataValidation sqref="D2:D64" showDropDown="0" showInputMessage="0" showErrorMessage="0" allowBlank="0" errorTitle="Valor inválido" error="Escolha um valor da lista: Pendente, Em andamento ou Concluída." promptTitle="Status" prompt="Selecione o status da tarefa" type="list">
      <formula1>"Pendente,Em andamento,Concluída"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3" customWidth="1" min="3" max="3"/>
    <col width="15" customWidth="1" min="4" max="4"/>
    <col width="12" customWidth="1" min="5" max="5"/>
    <col width="13" customWidth="1" min="6" max="6"/>
  </cols>
  <sheetData>
    <row r="1">
      <c r="A1" s="6" t="inlineStr">
        <is>
          <t>Resumo do Progresso — APP-do-amor</t>
        </is>
      </c>
    </row>
    <row r="3">
      <c r="A3" s="1" t="inlineStr">
        <is>
          <t>Fase</t>
        </is>
      </c>
      <c r="B3" s="1" t="inlineStr">
        <is>
          <t>Total de Tarefas</t>
        </is>
      </c>
      <c r="C3" s="1" t="inlineStr">
        <is>
          <t>Concluídas</t>
        </is>
      </c>
      <c r="D3" s="1" t="inlineStr">
        <is>
          <t>Em Andamento</t>
        </is>
      </c>
      <c r="E3" s="1" t="inlineStr">
        <is>
          <t>Pendentes</t>
        </is>
      </c>
      <c r="F3" s="1" t="inlineStr">
        <is>
          <t>% Concluído</t>
        </is>
      </c>
    </row>
    <row r="4">
      <c r="A4" s="2" t="inlineStr">
        <is>
          <t>Fase 0</t>
        </is>
      </c>
      <c r="B4" s="2">
        <f>COUNTIF(Checklist!$A$2:$A$64,"Fase 0")</f>
        <v/>
      </c>
      <c r="C4" s="2">
        <f>COUNTIFS(Checklist!$A$2:$A$64,"Fase 0",Checklist!$D$2:$D$64,"Concluída")</f>
        <v/>
      </c>
      <c r="D4" s="2">
        <f>COUNTIFS(Checklist!$A$2:$A$64,"Fase 0",Checklist!$D$2:$D$64,"Em andamento")</f>
        <v/>
      </c>
      <c r="E4" s="2">
        <f>COUNTIFS(Checklist!$A$2:$A$64,"Fase 0",Checklist!$D$2:$D$64,"Pendente")</f>
        <v/>
      </c>
      <c r="F4" s="7">
        <f>IF(B4=0,0,ROUND(C4/B4*100,0))</f>
        <v/>
      </c>
    </row>
    <row r="5">
      <c r="A5" s="2" t="inlineStr">
        <is>
          <t>Fase 1</t>
        </is>
      </c>
      <c r="B5" s="2">
        <f>COUNTIF(Checklist!$A$2:$A$64,"Fase 1")</f>
        <v/>
      </c>
      <c r="C5" s="2">
        <f>COUNTIFS(Checklist!$A$2:$A$64,"Fase 1",Checklist!$D$2:$D$64,"Concluída")</f>
        <v/>
      </c>
      <c r="D5" s="2">
        <f>COUNTIFS(Checklist!$A$2:$A$64,"Fase 1",Checklist!$D$2:$D$64,"Em andamento")</f>
        <v/>
      </c>
      <c r="E5" s="2">
        <f>COUNTIFS(Checklist!$A$2:$A$64,"Fase 1",Checklist!$D$2:$D$64,"Pendente")</f>
        <v/>
      </c>
      <c r="F5" s="7">
        <f>IF(B5=0,0,ROUND(C5/B5*100,0))</f>
        <v/>
      </c>
    </row>
    <row r="6">
      <c r="A6" s="2" t="inlineStr">
        <is>
          <t>Fase 2</t>
        </is>
      </c>
      <c r="B6" s="2">
        <f>COUNTIF(Checklist!$A$2:$A$64,"Fase 2")</f>
        <v/>
      </c>
      <c r="C6" s="2">
        <f>COUNTIFS(Checklist!$A$2:$A$64,"Fase 2",Checklist!$D$2:$D$64,"Concluída")</f>
        <v/>
      </c>
      <c r="D6" s="2">
        <f>COUNTIFS(Checklist!$A$2:$A$64,"Fase 2",Checklist!$D$2:$D$64,"Em andamento")</f>
        <v/>
      </c>
      <c r="E6" s="2">
        <f>COUNTIFS(Checklist!$A$2:$A$64,"Fase 2",Checklist!$D$2:$D$64,"Pendente")</f>
        <v/>
      </c>
      <c r="F6" s="7">
        <f>IF(B6=0,0,ROUND(C6/B6*100,0))</f>
        <v/>
      </c>
    </row>
    <row r="7">
      <c r="A7" s="2" t="inlineStr">
        <is>
          <t>Fase 3</t>
        </is>
      </c>
      <c r="B7" s="2">
        <f>COUNTIF(Checklist!$A$2:$A$64,"Fase 3")</f>
        <v/>
      </c>
      <c r="C7" s="2">
        <f>COUNTIFS(Checklist!$A$2:$A$64,"Fase 3",Checklist!$D$2:$D$64,"Concluída")</f>
        <v/>
      </c>
      <c r="D7" s="2">
        <f>COUNTIFS(Checklist!$A$2:$A$64,"Fase 3",Checklist!$D$2:$D$64,"Em andamento")</f>
        <v/>
      </c>
      <c r="E7" s="2">
        <f>COUNTIFS(Checklist!$A$2:$A$64,"Fase 3",Checklist!$D$2:$D$64,"Pendente")</f>
        <v/>
      </c>
      <c r="F7" s="7">
        <f>IF(B7=0,0,ROUND(C7/B7*100,0))</f>
        <v/>
      </c>
    </row>
    <row r="8">
      <c r="A8" s="2" t="inlineStr">
        <is>
          <t>Fase 4</t>
        </is>
      </c>
      <c r="B8" s="2">
        <f>COUNTIF(Checklist!$A$2:$A$64,"Fase 4")</f>
        <v/>
      </c>
      <c r="C8" s="2">
        <f>COUNTIFS(Checklist!$A$2:$A$64,"Fase 4",Checklist!$D$2:$D$64,"Concluída")</f>
        <v/>
      </c>
      <c r="D8" s="2">
        <f>COUNTIFS(Checklist!$A$2:$A$64,"Fase 4",Checklist!$D$2:$D$64,"Em andamento")</f>
        <v/>
      </c>
      <c r="E8" s="2">
        <f>COUNTIFS(Checklist!$A$2:$A$64,"Fase 4",Checklist!$D$2:$D$64,"Pendente")</f>
        <v/>
      </c>
      <c r="F8" s="7">
        <f>IF(B8=0,0,ROUND(C8/B8*100,0))</f>
        <v/>
      </c>
    </row>
    <row r="9">
      <c r="A9" s="8" t="inlineStr">
        <is>
          <t>TOTAL</t>
        </is>
      </c>
      <c r="B9" s="8">
        <f>SUM(B4:B8)</f>
        <v/>
      </c>
      <c r="C9" s="8">
        <f>SUM(C4:C8)</f>
        <v/>
      </c>
      <c r="D9" s="8">
        <f>SUM(D4:D8)</f>
        <v/>
      </c>
      <c r="E9" s="8">
        <f>SUM(E4:E8)</f>
        <v/>
      </c>
      <c r="F9" s="9">
        <f>IF(B9=0,0,ROUND(C9/B9*100,0))</f>
        <v/>
      </c>
    </row>
    <row r="11">
      <c r="A11" s="10" t="inlineStr">
        <is>
          <t>Atualize o status na aba Checklist e o Resumo recalcula automaticamente.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15" customWidth="1" min="1" max="1"/>
    <col width="20" customWidth="1" min="2" max="2"/>
  </cols>
  <sheetData>
    <row r="1">
      <c r="A1" s="11" t="inlineStr">
        <is>
          <t>Como usar esta planilha:</t>
        </is>
      </c>
    </row>
    <row r="2">
      <c r="A2" s="12" t="inlineStr">
        <is>
          <t>1. Trabalhe em 1 a 3 tarefas por dia e marque o status na coluna D (Pendente, Em andamento ou Concluída).</t>
        </is>
      </c>
    </row>
    <row r="3">
      <c r="A3" s="12" t="inlineStr">
        <is>
          <t>2. Preencha a Data de Conclusão (coluna E) quando finalizar uma tarefa.</t>
        </is>
      </c>
    </row>
    <row r="4">
      <c r="A4" s="12" t="inlineStr">
        <is>
          <t>3. Use a coluna Observações (coluna F) para anotar links, decisões ou detalhes.</t>
        </is>
      </c>
    </row>
    <row r="5">
      <c r="A5" s="12" t="inlineStr">
        <is>
          <t>4. A aba Resumo mostra o progresso de cada fase automaticamente.</t>
        </is>
      </c>
    </row>
    <row r="6">
      <c r="A6" s="12" t="inlineStr">
        <is>
          <t>5. Revise a planilha toda semana para ver o que já foi feito e o que falta.</t>
        </is>
      </c>
    </row>
    <row r="7">
      <c r="A7" s="12" t="inlineStr">
        <is>
          <t>6. As fases são sequenciais, mas as tarefas dentro de uma fase podem ser reordenadas.</t>
        </is>
      </c>
    </row>
    <row r="8">
      <c r="A8" s="12" t="inlineStr">
        <is>
          <t>7. Tudo que está em 'Decisões em Aberto' (nome, tecnologia, preço) pode mudar a qualquer momento sem quebrar o plano.</t>
        </is>
      </c>
    </row>
  </sheetData>
  <mergeCells count="8">
    <mergeCell ref="A4:B4"/>
    <mergeCell ref="A2:B2"/>
    <mergeCell ref="A7:B7"/>
    <mergeCell ref="A5:B5"/>
    <mergeCell ref="A1:B1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2026-09-01T13:44:39Z</dcterms:created>
  <dcterms:modified xsi:type="dcterms:W3CDTF">2026-09-01T13:44:39Z</dcterms:modified>
</cp:coreProperties>
</file>