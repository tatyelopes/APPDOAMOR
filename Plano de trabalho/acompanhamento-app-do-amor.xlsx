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 + MPV DE TESTE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14/09/2026 18:36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Mestre'!A2:A138)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Mestre'!I2:I138,"Concluído")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Mestre'!I2:I138,"Em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Mestre'!I2:I138,"Não iniciado")</f>
        <v>0</v>
      </c>
      <c r="C7" s="0" t="inlineStr">
        <is>
          <t>fila restante</t>
        </is>
      </c>
    </row>
    <row r="8">
      <c r="A8" s="0" t="inlineStr">
        <is>
          <t>Progresso por status</t>
        </is>
      </c>
      <c r="B8" s="3">
        <f>AVERAGE('Plano Mestre'!M2:M138)</f>
        <v>0</v>
      </c>
      <c r="C8" s="0" t="inlineStr">
        <is>
          <t>não mede prontidão do produto</t>
        </is>
      </c>
    </row>
    <row r="9">
      <c r="A9" s="0" t="inlineStr">
        <is>
          <t>Horas estimadas</t>
        </is>
      </c>
      <c r="B9" s="2">
        <f>SUM('Plano Mestre'!J2:J138)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Mestre'!B2:B138,"Descoberta")</f>
        <v>0</v>
      </c>
      <c r="C12" s="2">
        <f>COUNTIFS('Plano Mestre'!B2:B138,"Descoberta",'Plano Mestre'!I2:I138,"Concluído")</f>
        <v>0</v>
      </c>
    </row>
    <row r="13">
      <c r="A13" s="0" t="inlineStr">
        <is>
          <t>Planejamento</t>
        </is>
      </c>
      <c r="B13" s="2">
        <f>COUNTIF('Plano Mestre'!B2:B138,"Planejamento")</f>
        <v>0</v>
      </c>
      <c r="C13" s="2">
        <f>COUNTIFS('Plano Mestre'!B2:B138,"Planejamento",'Plano Mestre'!I2:I138,"Concluído")</f>
        <v>0</v>
      </c>
    </row>
    <row r="14">
      <c r="A14" s="0" t="inlineStr">
        <is>
          <t>Marca</t>
        </is>
      </c>
      <c r="B14" s="2">
        <f>COUNTIF('Plano Mestre'!B2:B138,"Marca")</f>
        <v>0</v>
      </c>
      <c r="C14" s="2">
        <f>COUNTIFS('Plano Mestre'!B2:B138,"Marca",'Plano Mestre'!I2:I138,"Concluído")</f>
        <v>0</v>
      </c>
    </row>
    <row r="15">
      <c r="A15" s="0" t="inlineStr">
        <is>
          <t>UX/UI</t>
        </is>
      </c>
      <c r="B15" s="2">
        <f>COUNTIF('Plano Mestre'!B2:B138,"UX/UI")</f>
        <v>0</v>
      </c>
      <c r="C15" s="2">
        <f>COUNTIFS('Plano Mestre'!B2:B138,"UX/UI",'Plano Mestre'!I2:I138,"Concluído")</f>
        <v>0</v>
      </c>
    </row>
    <row r="16">
      <c r="A16" s="0" t="inlineStr">
        <is>
          <t>Arquitetura</t>
        </is>
      </c>
      <c r="B16" s="2">
        <f>COUNTIF('Plano Mestre'!B2:B138,"Arquitetura")</f>
        <v>0</v>
      </c>
      <c r="C16" s="2">
        <f>COUNTIFS('Plano Mestre'!B2:B138,"Arquitetura",'Plano Mestre'!I2:I138,"Concluído")</f>
        <v>0</v>
      </c>
    </row>
    <row r="17">
      <c r="A17" s="0" t="inlineStr">
        <is>
          <t>Infraestrutura</t>
        </is>
      </c>
      <c r="B17" s="2">
        <f>COUNTIF('Plano Mestre'!B2:B138,"Infraestrutura")</f>
        <v>0</v>
      </c>
      <c r="C17" s="2">
        <f>COUNTIFS('Plano Mestre'!B2:B138,"Infraestrutura",'Plano Mestre'!I2:I138,"Concluído")</f>
        <v>0</v>
      </c>
    </row>
    <row r="18">
      <c r="A18" s="0" t="inlineStr">
        <is>
          <t>Backend</t>
        </is>
      </c>
      <c r="B18" s="2">
        <f>COUNTIF('Plano Mestre'!B2:B138,"Backend")</f>
        <v>0</v>
      </c>
      <c r="C18" s="2">
        <f>COUNTIFS('Plano Mestre'!B2:B138,"Backend",'Plano Mestre'!I2:I138,"Concluído")</f>
        <v>0</v>
      </c>
    </row>
    <row r="19">
      <c r="A19" s="0" t="inlineStr">
        <is>
          <t>Frontend</t>
        </is>
      </c>
      <c r="B19" s="2">
        <f>COUNTIF('Plano Mestre'!B2:B138,"Frontend")</f>
        <v>0</v>
      </c>
      <c r="C19" s="2">
        <f>COUNTIFS('Plano Mestre'!B2:B138,"Frontend",'Plano Mestre'!I2:I138,"Concluído")</f>
        <v>0</v>
      </c>
    </row>
    <row r="20">
      <c r="A20" s="0" t="inlineStr">
        <is>
          <t>Conteúdo</t>
        </is>
      </c>
      <c r="B20" s="2">
        <f>COUNTIF('Plano Mestre'!B2:B138,"Conteúdo")</f>
        <v>0</v>
      </c>
      <c r="C20" s="2">
        <f>COUNTIFS('Plano Mestre'!B2:B138,"Conteúdo",'Plano Mestre'!I2:I138,"Concluído")</f>
        <v>0</v>
      </c>
    </row>
    <row r="21">
      <c r="A21" s="0" t="inlineStr">
        <is>
          <t>Qualidade</t>
        </is>
      </c>
      <c r="B21" s="2">
        <f>COUNTIF('Plano Mestre'!B2:B138,"Qualidade")</f>
        <v>0</v>
      </c>
      <c r="C21" s="2">
        <f>COUNTIFS('Plano Mestre'!B2:B138,"Qualidade",'Plano Mestre'!I2:I138,"Concluído")</f>
        <v>0</v>
      </c>
    </row>
    <row r="22">
      <c r="A22" s="0" t="inlineStr">
        <is>
          <t>Jurídico</t>
        </is>
      </c>
      <c r="B22" s="2">
        <f>COUNTIF('Plano Mestre'!B2:B138,"Jurídico")</f>
        <v>0</v>
      </c>
      <c r="C22" s="2">
        <f>COUNTIFS('Plano Mestre'!B2:B138,"Jurídico",'Plano Mestre'!I2:I138,"Concluído")</f>
        <v>0</v>
      </c>
    </row>
    <row r="23">
      <c r="A23" s="0" t="inlineStr">
        <is>
          <t>Lançamento</t>
        </is>
      </c>
      <c r="B23" s="2">
        <f>COUNTIF('Plano Mestre'!B2:B138,"Lançamento")</f>
        <v>0</v>
      </c>
      <c r="C23" s="2">
        <f>COUNTIFS('Plano Mestre'!B2:B138,"Lançamento",'Plano Mestre'!I2:I138,"Concluído")</f>
        <v>0</v>
      </c>
    </row>
    <row r="24">
      <c r="A24" s="0" t="inlineStr">
        <is>
          <t>Pós-lançamento</t>
        </is>
      </c>
      <c r="B24" s="2">
        <f>COUNTIF('Plano Mestre'!B2:B138,"Pós-lançamento")</f>
        <v>0</v>
      </c>
      <c r="C24" s="2">
        <f>COUNTIFS('Plano Mestre'!B2:B138,"Pós-lançamento",'Plano Mestre'!I2:I138,"Concluído")</f>
        <v>0</v>
      </c>
    </row>
    <row r="25">
      <c r="A25" s="0" t="inlineStr">
        <is>
          <t>MPV de teste</t>
        </is>
      </c>
      <c r="B25" s="2">
        <f>COUNTIF('Plano Mestre'!B2:B138,"MPV de teste")</f>
        <v>0</v>
      </c>
      <c r="C25" s="2">
        <f>COUNTIFS('Plano Mestre'!B2:B138,"MPV de teste",'Plano Mestre'!I2:I138,"Concluído")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 — formulário nomeado como Jogo para Casais — Pesquisa de Experiência, texto introdutório informal e imagem de fundo sem marca disponíveis — pendentes montagem final do Forms, recrutamento,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Em andamento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0.5</v>
      </c>
      <c r="N5" s="0" t="inlineStr">
        <is>
          <t>Pesquisa secundária consolidada em docs/PESQUISA-CASAIS-BRASILEIROS.md - síntese das entrevistas e validação das oportunidades dependem da tarefa 3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em docs/CRONOGRAMA-MARCOS-E-CADENCIA.md e Word - revisão identificou datas por tarefa e capacidade nominal pendentes de replanejamento com a baseline 112 - datas dos marcos permanecem premissas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Estrutura de papéis e RACI documentadas - papéis padrão aplicados às tarefas atuais pelo gerador - nomes técnicos e capacidade ainda a confirmar - documento e Word têm recorte histórico das 107 tarefas iniciais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 —  validar com casais e revisar se o naming mudar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 —  guia Word e preview horizontal atualizados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 e fluxograma visual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12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Concluído</t>
        </is>
      </c>
      <c r="J21" s="0">
        <v>12</v>
      </c>
      <c r="K21" s="0" t="inlineStr">
        <is>
          <t/>
        </is>
      </c>
      <c r="L21" s="0" t="inlineStr">
        <is>
          <t/>
        </is>
      </c>
      <c r="M21" s="3">
        <v>1</v>
      </c>
      <c r="N21" s="0" t="inlineStr">
        <is>
      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Em andamento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0.5</v>
      </c>
      <c r="N25" s="0" t="inlineStr">
        <is>
          <t>Desenho em docs/HOME-E-ROTINA-DIARIA.md e protótipo navegável em docs/prototipo-home-rotina.html - 13 estados da home e rotina com perguntas desafios e modo misto - pendentes revisão visual e validação com casais na tarefa 30</t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Em andamento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0.5</v>
      </c>
      <c r="N26" s="0" t="inlineStr">
        <is>
          <t>Desenho em docs/PERGUNTAS-E-REVELACAO-MUTUA.md e protótipo docs/prototipo-perguntas-revelacao.html - discursiva múltipla escolha desafios espera correção pulo retomada e revelação bilateral - verificação de estados automatizada - validação visual e com casais pendentes na tarefa 30</t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Em andamento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0.5</v>
      </c>
      <c r="N27" s="0" t="inlineStr">
        <is>
          <t>Desenho em docs/TESTES-E-RESULTADOS.md e protótipo docs/prototipo-testes-resultados.html - formas de afeto e temperamentos experimentais com pausa revisão resultado parcial empate compartilhamento opcional e revogação - verificação de estados em scripts/validate-tests-prototype.mjs - revisão visual editorial especializada e validação com casais pendentes</t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Em andamento</t>
        </is>
      </c>
      <c r="J28" s="0">
        <v>20</v>
      </c>
      <c r="K28" s="0" t="inlineStr">
        <is>
          <t/>
        </is>
      </c>
      <c r="L28" s="0" t="inlineStr">
        <is>
          <t/>
        </is>
      </c>
      <c r="M28" s="3">
        <v>0.5</v>
      </c>
      <c r="N28" s="0" t="inlineStr">
        <is>
          <t>Home rotina diária perguntas com revelação e testes com resultados desenhados em protótipos HTML responsivos na pasta docs - demais telas e validação visual completa pendentes</t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Em andamento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0.5</v>
      </c>
      <c r="N29" s="0" t="inlineStr">
        <is>
          <t>Tokens em src/assets/brand/brand-tokens.css e guia docs/IDENTIDADE-VISUAL.md existentes - biblioteca de componentes estados acessibilidade e validação visual pendentes</t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Em andamento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0.5</v>
      </c>
      <c r="N30" s="0" t="inlineStr">
        <is>
          <t>Protótipos locais da home perguntas e revelação mútua e testes com resultados em docs - inclui perspectivas simuladas rede pausa revisão e compartilhamento opcional de resumo - integração das demais jornadas revisão visual e testes com casais pendentes</t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Em andamento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0.5</v>
      </c>
      <c r="N31" s="0" t="inlineStr">
        <is>
          <t>Rodada 0 especializada executada em 05/09/2026 com sete jornadas bilaterais e doze estados responsivos - relatório em docs/TESTE-DE-USABILIDADE-2026-09-05.md - nove achados registrados - validação moderada com casais e métricas humanas ainda pendentes</t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>Correções dos achados UT-01 a UT-09 da rodada 0 pendentes - priorizar entrada em login feedback de falhas integridade do progresso retomada dos testes e alvos de toque antes da rodada com participantes</t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Concluído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1</v>
      </c>
      <c r="N35" s="0" t="inlineStr">
        <is>
          <t>Modelo lógico em docs/MODELO-DE-DADOS.md e docs/modelo-de-dados.dbml com 10 entidades e 12 relacionamentos - autenticação partidas respostas desafios e progresso - regras de integridade privacidade e migração documentadas</t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34,112</t>
        </is>
      </c>
      <c r="H36" s="0" t="inlineStr">
        <is>
          <t>Liderança Técnica</t>
        </is>
      </c>
      <c r="I36" s="0" t="inlineStr">
        <is>
          <t>Em andamento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0.5</v>
      </c>
      <c r="N36" s="0" t="inlineStr">
        <is>
      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Concluído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1</v>
      </c>
      <c r="N37" s="0" t="inlineStr">
        <is>
          <t>Baseline STRIDE e OWASP em docs/MODELAGEM-DE-AMEACAS.md com diagrama ativos fronteiras 22 ameaças 29 controles 20 testes gates de piloto e riscos residuais - 13 ameaças críticas 8 altas e 1 média - estado atual não apto para piloto externo - revalidar após tarefas 112-114 PostgreSQL provedores e antes da release candidate</t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Concluído</t>
        </is>
      </c>
      <c r="J38" s="0">
        <v>12</v>
      </c>
      <c r="K38" s="0" t="inlineStr">
        <is>
          <t>05/09/2026</t>
        </is>
      </c>
      <c r="L38" s="0" t="inlineStr">
        <is>
          <t>05/09/2026</t>
        </is>
      </c>
      <c r="M38" s="3">
        <v>1</v>
      </c>
      <c r="N38" s="0" t="inlineStr">
        <is>
          <t>Inventário v1 em docs/INVENTARIO-DE-DADOS-E-BASES-LEGAIS-LGPD.md - 17 grupos e 20 operações com finalidade necessidade bases dos artigos 7 e 11 acesso compartilhamento retenção direitos incidentes e gates - enquadramento sujeito a aprovação jurídica</t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Concluído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1</v>
      </c>
      <c r="N39" s="0" t="inlineStr">
        <is>
          <t>Estratégia em docs/AMBIENTES.md com matriz local staging production isolamento configuração atual e futura promoção recuperação e gates - modelo .env.local.example e regras Git - definição concluída em 08/09/2026 sem provisionamento ou deploy remoto</t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Concluído</t>
        </is>
      </c>
      <c r="J40" s="0">
        <v>6</v>
      </c>
      <c r="K40" s="0" t="inlineStr">
        <is>
          <t>08/09/2026</t>
        </is>
      </c>
      <c r="L40" s="0" t="inlineStr">
        <is>
          <t>08/09/2026</t>
        </is>
      </c>
      <c r="M40" s="3">
        <v>1</v>
      </c>
      <c r="N40" s="0" t="inlineStr">
        <is>
          <t>ESLint flat configurado para JavaScript TypeScript e React, Prettier e EditorConfig aplicados, hook pre-commit com Husky e lint-staged ativo e comandos de qualidade documentados no README</t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Não iniciado</t>
        </is>
      </c>
      <c r="J41" s="0">
        <v>10</v>
      </c>
      <c r="K41" s="0" t="inlineStr">
        <is>
          <t/>
        </is>
      </c>
      <c r="L41" s="0" t="inlineStr">
        <is>
          <t/>
        </is>
      </c>
      <c r="M41" s="3">
        <v>0</v>
      </c>
      <c r="N41" s="0" t="inlineStr">
        <is>
          <t/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Não iniciado</t>
        </is>
      </c>
      <c r="J42" s="0">
        <v>10</v>
      </c>
      <c r="K42" s="0" t="inlineStr">
        <is>
          <t/>
        </is>
      </c>
      <c r="L42" s="0" t="inlineStr">
        <is>
          <t/>
        </is>
      </c>
      <c r="M42" s="3">
        <v>0</v>
      </c>
      <c r="N42" s="0" t="inlineStr">
        <is>
          <t>Provisionar PostgreSQL local staging e production com identidades distintas mesma versão principal e migrações conforme docs/AMBIENTES.md - implementar DATABASE_URL validar conexão integridade e concorrência - JSON atual sem transações fica restrito ao protótipo local</t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Não iniciado</t>
        </is>
      </c>
      <c r="J43" s="0">
        <v>6</v>
      </c>
      <c r="K43" s="0" t="inlineStr">
        <is>
          <t/>
        </is>
      </c>
      <c r="L43" s="0" t="inlineStr">
        <is>
          <t/>
        </is>
      </c>
      <c r="M43" s="3">
        <v>0</v>
      </c>
      <c r="N43" s="0" t="inlineStr">
        <is>
          <t>Cofre identidades e chaves exclusivos por ambiente conforme docs/AMBIENTES.md - injeção em runtime privilégio mínimo inventário rotação e auditoria - modelos e gitignore não substituem esses controles</t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Não iniciado</t>
        </is>
      </c>
      <c r="J44" s="0">
        <v>12</v>
      </c>
      <c r="K44" s="0" t="inlineStr">
        <is>
          <t/>
        </is>
      </c>
      <c r="L44" s="0" t="inlineStr">
        <is>
          <t/>
        </is>
      </c>
      <c r="M44" s="3">
        <v>0</v>
      </c>
      <c r="N44" s="0" t="inlineStr">
        <is>
          <t>Separar logs métricas e alertas por ambiente e versão conforme docs/AMBIENTES.md - implementar sondas de saúde e prontidão sem dados privados - testar alertas de indisponibilidade erros banco backup e capacidade sem conteúdo íntimo ou segredos</t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35,41,115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>Catálogo versionado deve servir apenas conteúdo aprovado e publicado com tema nível duração e formato - permitir retirada sem nova versão do app - integrar fonte editorial 115</t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49,52,111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>Endpoint da pergunta fixa existe - generalizar para partida rodada e autoria por conta com idempotência e correção apenas antes da revelação</t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Alta</t>
        </is>
      </c>
      <c r="G56" s="0" t="inlineStr">
        <is>
          <t>54,111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>Derivar progresso de participação mútua confirmada - substituir contador local inicializado em 3 e incrementado por cliques - releitura e pulo não contam</t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linguagens do amor e resultado</t>
        </is>
      </c>
      <c r="E57" s="0" t="inlineStr">
        <is>
          <t>Serviço de avaliação</t>
        </is>
      </c>
      <c r="F57" s="0" t="inlineStr">
        <is>
          <t>Alta</t>
        </is>
      </c>
      <c r="G57" s="0" t="inlineStr">
        <is>
          <t>49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16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/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/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Alta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>Operação mínima de revisão publicação e retirada com autorização e auditoria - CMS completo não é exigido antes do piloto se existir alternativa segura nas tarefas 52 e 115</t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Em andamento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0.5</v>
      </c>
      <c r="N62" s="0" t="inlineStr">
        <is>
          <t>Três telas implementadas - reaberto na revisão: Já tenho uma conta usa conclusão genérica e abre cadastro - faltam pular e validação do fluxo documentado</t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/>
        </is>
      </c>
      <c r="L63" s="0" t="inlineStr">
        <is>
          <t/>
        </is>
      </c>
      <c r="M63" s="3">
        <v>0.5</v>
      </c>
      <c r="N63" s="0" t="inlineStr">
        <is>
          <t/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Em andamento</t>
        </is>
      </c>
      <c r="J64" s="0">
        <v>18</v>
      </c>
      <c r="K64" s="0" t="inlineStr">
        <is>
          <t/>
        </is>
      </c>
      <c r="L64" s="0" t="inlineStr">
        <is>
          <t/>
        </is>
      </c>
      <c r="M64" s="3">
        <v>0.5</v>
      </c>
      <c r="N64" s="0" t="inlineStr">
        <is>
          <t>Criação entrada e espera implementadas - reaberto na revisão: erro de atualização sem mensagem e cópia pode informar sucesso sem clipboard - integração e validação completas pendentes</t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/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24,55,116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>Home atual parcial - integrar estados em docs/HOME-E-ROTINA-DIARIA.md com pendências reais e progresso confirmado sem valores demonstrativos</t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25,52,116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16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>Jogo local por temas implementado em 109 - níveis leve médio profundo e catálogo remoto ainda pendentes - harmonizar formato e mecânica na tarefa 112</t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teste de linguagens do amor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18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/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16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/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17,108,110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>Revisão editorial pode começar pelos lotes candidatos antes de concluir frontend - incluir textos de interface à medida que forem implementados</t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108,110,115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20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>Validar lotes e recomendações antes de publicação - distinguir conteúdo candidato de aprovado e seleção mínima de 60 atividades - conteúdo íntimo restrito conforme baseline do piloto</t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>Incluir regras de autenticação autoria duas participações idempotência transições de rodada e progresso - não há suíte versionada identificada nesta revisão</t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44-59,78,111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>Incluir escritas concorrentes falha de persistência retomada isolamento e reenvios - usar dados de teste sem tocar em contas reais</t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61-70,78,116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>Dois contextos autenticados independentes - validar ida e volta da home retomada perguntas desafios pulo e revelação sem vazamento</t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>Aplicar SEC-26 e ST-20 de docs/MODELAGEM-DE-AMEACAS.md - versões fixadas análise de dependências e segredos SBOM revisão de artefato e bloqueio de promoção com vulnerabilidade crítica explorável</t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>Executar casos ST-01 a ST-19 aplicáveis de docs/MODELAGEM-DE-AMEACAS.md com ênfase em BOLA BFLA convite sessão revelação corrida desvinculação logs admin e cache - nenhum vazamento S3 ou S4 e nenhuma ameaça crítica aberta antes do piloto</t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>Usar operações OP-01 a OP-20 e decisões DEC-01 DEC-02 DEC-05 e DEC-08 do inventário LGPD - identificar controlador encarregado operadores transferências finalidades bases prazos direitos e limites da revelação ao parceiro</t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>Implementar CS-01 a CS-05 e DEC-03 DEC-04 DEC-06 DEC-07 DEC-09 e DEC-10 do inventário LGPD - consentimento específico para conteúdo potencialmente sensível revogação exportação exclusão propagação e RIPD antes do piloto</t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>Designar e publicar encarregado ou justificativa aplicável - operacionalizar OP-16 e OP-19 com verificação proporcional prazos RT-01 RT-05 RT-10 fila de operadores e separação de dados do parceiro</t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16,38,42,123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>Provisionar produção conforme docs/AMBIENTES.md após homologação 123 - frontend e API na mesma origem entrada HTTPS banco privado recursos isolados e artefato validado - domínio provedor região e custo ainda pendentes</t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41,92,118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>Migração com staging e conferência dos dados legados - backup inicial e restauração comprovada antes de declarar banco pronto</t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>Incluir DEC-11 do inventário LGPD - contato 24x7 avaliação de risco ou dano relevante registro de decisão e comunicação à ANPD e titulares em até 3 dias úteis quando aplicável</t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87,90,92-95,77,116,117,119,121,122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>UAT do ciclo bilateral conforme baseline 112 - mecânicas 113 e 114 entram no aceite se mantidas para o piloto - reunir evidências de conteúdo privacidade fornecedores e operação</t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7,34,35,111</t>
        </is>
      </c>
      <c r="H107" s="0" t="inlineStr">
        <is>
          <t>Engenharia Backend</t>
        </is>
      </c>
      <c r="I107" s="0" t="inlineStr">
        <is>
          <t>Em andamento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0.5</v>
      </c>
      <c r="N107" s="0" t="inlineStr">
        <is>
          <t>Endpoint e agregações implementados - reaberto: eventos financeiros aceitos do cliente reativação não recupera pagantes retenção acumulada rotulada D7 e mode descartado - definir fontes confiáveis e testar métricas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Em andamento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0.5</v>
      </c>
      <c r="N108" s="0" t="inlineStr">
        <is>
          <t>Painel implementado - reaberto para distinguir não instrumentado de zero e esclarecer coortes origem dos dados e limitações - aceite depende da correção e validação da tarefa 106</t>
        </is>
      </c>
    </row>
    <row r="109">
      <c r="A109" s="0">
        <v>108</v>
      </c>
      <c r="B109" s="0" t="inlineStr">
        <is>
          <t>Conteúdo</t>
        </is>
      </c>
      <c r="C109" s="0" t="inlineStr">
        <is>
          <t>Editorial</t>
        </is>
      </c>
      <c r="D109" s="0" t="inlineStr">
        <is>
          <t>Produzir banco inicial de perguntas de múltipla escolha</t>
        </is>
      </c>
      <c r="E109" s="0" t="inlineStr">
        <is>
          <t>Planilha editorial de perguntas</t>
        </is>
      </c>
      <c r="F109" s="0" t="inlineStr">
        <is>
          <t>Crítica</t>
        </is>
      </c>
      <c r="G109" s="0" t="inlineStr">
        <is>
          <t>19,17</t>
        </is>
      </c>
      <c r="H109" s="0" t="inlineStr">
        <is>
          <t>Pesquisa e Conteúdo</t>
        </is>
      </c>
      <c r="I109" s="0" t="inlineStr">
        <is>
          <t>Em andamento</t>
        </is>
      </c>
      <c r="J109" s="0">
        <v>20</v>
      </c>
      <c r="K109" s="0" t="inlineStr">
        <is>
          <t/>
        </is>
      </c>
      <c r="L109" s="0" t="inlineStr">
        <is>
          <t/>
        </is>
      </c>
      <c r="M109" s="3">
        <v>0.5</v>
      </c>
      <c r="N109" s="0" t="inlineStr">
        <is>
          <t>75 perguntas de múltipla escolha candidatas em Conteúdo/banco-de-perguntas-conectadois.xlsx - produção precede revisão 76 e parecer 77 - pendentes revisão editorial aprovação e seleção do lote do piloto</t>
        </is>
      </c>
    </row>
    <row r="110">
      <c r="A110" s="0">
        <v>109</v>
      </c>
      <c r="B110" s="0" t="inlineStr">
        <is>
          <t>Frontend</t>
        </is>
      </c>
      <c r="C110" s="0" t="inlineStr">
        <is>
          <t>Jogo</t>
        </is>
      </c>
      <c r="D110" s="0" t="inlineStr">
        <is>
          <t>Incluir seleção inicial de temas e formatos</t>
        </is>
      </c>
      <c r="E110" s="0" t="inlineStr">
        <is>
          <t>Perguntas discursivas e desafios no mesmo dispositivo</t>
        </is>
      </c>
      <c r="F110" s="0" t="inlineStr">
        <is>
          <t>Alta</t>
        </is>
      </c>
      <c r="G110" s="0" t="inlineStr">
        <is>
          <t>108</t>
        </is>
      </c>
      <c r="H110" s="0" t="inlineStr">
        <is>
          <t>Engenharia Frontend</t>
        </is>
      </c>
      <c r="I110" s="0" t="inlineStr">
        <is>
          <t>Concluído</t>
        </is>
      </c>
      <c r="J110" s="0">
        <v>12</v>
      </c>
      <c r="K110" s="0" t="inlineStr">
        <is>
          <t/>
        </is>
      </c>
      <c r="L110" s="0" t="inlineStr">
        <is>
          <t/>
        </is>
      </c>
      <c r="M110" s="3">
        <v>1</v>
      </c>
      <c r="N110" s="0" t="inlineStr">
        <is>
          <t>Onze temas com dois formatos e modo misto - respostas por jogador e confirmação individual de desafios - pular e reiniciar disponíveis</t>
        </is>
      </c>
    </row>
    <row r="111">
      <c r="A111" s="0">
        <v>110</v>
      </c>
      <c r="B111" s="0" t="inlineStr">
        <is>
          <t>Conteúdo</t>
        </is>
      </c>
      <c r="C111" s="0" t="inlineStr">
        <is>
          <t>Editorial</t>
        </is>
      </c>
      <c r="D111" s="0" t="inlineStr">
        <is>
          <t>Ampliar todos os temas com perguntas discursivas e desafios</t>
        </is>
      </c>
      <c r="E111" s="0" t="inlineStr">
        <is>
          <t>44 novas atividades no app e banco editorial</t>
        </is>
      </c>
      <c r="F111" s="0" t="inlineStr">
        <is>
          <t>Alta</t>
        </is>
      </c>
      <c r="G111" s="0" t="inlineStr">
        <is>
          <t>108</t>
        </is>
      </c>
      <c r="H111" s="0" t="inlineStr">
        <is>
          <t>Pesquisa e Conteúdo</t>
        </is>
      </c>
      <c r="I111" s="0" t="inlineStr">
        <is>
          <t>Em andamento</t>
        </is>
      </c>
      <c r="J111" s="0">
        <v>8</v>
      </c>
      <c r="K111" s="0" t="inlineStr">
        <is>
          <t/>
        </is>
      </c>
      <c r="L111" s="0" t="inlineStr">
        <is>
          <t/>
        </is>
      </c>
      <c r="M111" s="3">
        <v>0.5</v>
      </c>
      <c r="N111" s="0" t="inlineStr">
        <is>
          <t>Duas perguntas e dois desafios por tema implementados - 22 desafios separados na aba Desafios e perguntas nas abas temáticas - revisão editorial e especializada pendentes antes de publicação</t>
        </is>
      </c>
    </row>
    <row r="112">
      <c r="A112" s="0">
        <v>111</v>
      </c>
      <c r="B112" s="0" t="inlineStr">
        <is>
          <t>Backend</t>
        </is>
      </c>
      <c r="C112" s="0" t="inlineStr">
        <is>
          <t>Sessões de jogo</t>
        </is>
      </c>
      <c r="D112" s="0" t="inlineStr">
        <is>
          <t>Persistir partidas rodadas e participantes</t>
        </is>
      </c>
      <c r="E112" s="0" t="inlineStr">
        <is>
          <t>Serviço de partidas com autorização por casal</t>
        </is>
      </c>
      <c r="F112" s="0" t="inlineStr">
        <is>
          <t>Alta</t>
        </is>
      </c>
      <c r="G112" s="0" t="inlineStr">
        <is>
          <t>34,35,41,49,52</t>
        </is>
      </c>
      <c r="H112" s="0" t="inlineStr">
        <is>
          <t>Engenharia Backend</t>
        </is>
      </c>
      <c r="I112" s="0" t="inlineStr">
        <is>
          <t>Não iniciado</t>
        </is>
      </c>
      <c r="J112" s="0">
        <v>16</v>
      </c>
      <c r="K112" s="0" t="inlineStr">
        <is>
          <t/>
        </is>
      </c>
      <c r="L112" s="0" t="inlineStr">
        <is>
          <t/>
        </is>
      </c>
      <c r="M112" s="3">
        <v>0</v>
      </c>
      <c r="N112" s="0" t="inlineStr">
        <is>
          <t>Implementar modelo de partidas e snapshots de conteúdo - integrar respostas e progresso com transações e testes de concorrência</t>
        </is>
      </c>
    </row>
    <row r="113">
      <c r="A113" s="0">
        <v>112</v>
      </c>
      <c r="B113" s="0" t="inlineStr">
        <is>
          <t>Planejamento</t>
        </is>
      </c>
      <c r="C113" s="0" t="inlineStr">
        <is>
          <t>Produto</t>
        </is>
      </c>
      <c r="D113" s="0" t="inlineStr">
        <is>
          <t>Reconciliar temas formatos mecânicas e escopo do piloto</t>
        </is>
      </c>
      <c r="E113" s="0" t="inlineStr">
        <is>
          <t>Baseline e matriz de rastreabilidade</t>
        </is>
      </c>
      <c r="F113" s="0" t="inlineStr">
        <is>
          <t>Crítica</t>
        </is>
      </c>
      <c r="G113" s="0" t="inlineStr">
        <is>
          <t>8,10,34</t>
        </is>
      </c>
      <c r="H113" s="0" t="inlineStr">
        <is>
          <t>Product Owner — Tatyele Lopes</t>
        </is>
      </c>
      <c r="I113" s="0" t="inlineStr">
        <is>
          <t>Não iniciado</t>
        </is>
      </c>
      <c r="J113" s="0">
        <v>8</v>
      </c>
      <c r="K113" s="0" t="inlineStr">
        <is>
          <t/>
        </is>
      </c>
      <c r="L113" s="0" t="inlineStr">
        <is>
          <t/>
        </is>
      </c>
      <c r="M113" s="3">
        <v>0</v>
      </c>
      <c r="N113" s="0" t="inlineStr">
        <is>
          <t>Conciliar perguntas desafios e misto com resposta guardada adivinhação e coincidências - decidir primeiro piloto e atualizar PRD escopo MoSCoW modelo e cronograma - estimativa preliminar</t>
        </is>
      </c>
    </row>
    <row r="114">
      <c r="A114" s="0">
        <v>113</v>
      </c>
      <c r="B114" s="0" t="inlineStr">
        <is>
          <t>Backend</t>
        </is>
      </c>
      <c r="C114" s="0" t="inlineStr">
        <is>
          <t>Jogos</t>
        </is>
      </c>
      <c r="D114" s="0" t="inlineStr">
        <is>
          <t>Implementar mecânica bilateral de adivinhação</t>
        </is>
      </c>
      <c r="E114" s="0" t="inlineStr">
        <is>
          <t>Fluxo integrado com inversão de papéis</t>
        </is>
      </c>
      <c r="F114" s="0" t="inlineStr">
        <is>
          <t>Alta</t>
        </is>
      </c>
      <c r="G114" s="0" t="inlineStr">
        <is>
          <t>112,35,52,111</t>
        </is>
      </c>
      <c r="H114" s="0" t="inlineStr">
        <is>
          <t>Liderança Técnica</t>
        </is>
      </c>
      <c r="I114" s="0" t="inlineStr">
        <is>
          <t>Não iniciado</t>
        </is>
      </c>
      <c r="J114" s="0">
        <v>24</v>
      </c>
      <c r="K114" s="0" t="inlineStr">
        <is>
          <t/>
        </is>
      </c>
      <c r="L114" s="0" t="inlineStr">
        <is>
          <t/>
        </is>
      </c>
      <c r="M114" s="3">
        <v>0</v>
      </c>
      <c r="N114" s="0" t="inlineStr">
        <is>
          <t>Já previsto no escopo MVP - execução condicionada à decisão 112 - incluir modelo de tentativas API interface e testes de autoria - estimativa preliminar</t>
        </is>
      </c>
    </row>
    <row r="115">
      <c r="A115" s="0">
        <v>114</v>
      </c>
      <c r="B115" s="0" t="inlineStr">
        <is>
          <t>Backend</t>
        </is>
      </c>
      <c r="C115" s="0" t="inlineStr">
        <is>
          <t>Jogos</t>
        </is>
      </c>
      <c r="D115" s="0" t="inlineStr">
        <is>
          <t>Implementar mecânica de escolhas coincidentes</t>
        </is>
      </c>
      <c r="E115" s="0" t="inlineStr">
        <is>
          <t>Fluxo de escolhas e fechamento</t>
        </is>
      </c>
      <c r="F115" s="0" t="inlineStr">
        <is>
          <t>Alta</t>
        </is>
      </c>
      <c r="G115" s="0" t="inlineStr">
        <is>
          <t>112,35,52,111</t>
        </is>
      </c>
      <c r="H115" s="0" t="inlineStr">
        <is>
          <t>Liderança Técnica</t>
        </is>
      </c>
      <c r="I115" s="0" t="inlineStr">
        <is>
          <t>Não iniciado</t>
        </is>
      </c>
      <c r="J115" s="0">
        <v>24</v>
      </c>
      <c r="K115" s="0" t="inlineStr">
        <is>
          <t/>
        </is>
      </c>
      <c r="L115" s="0" t="inlineStr">
        <is>
          <t/>
        </is>
      </c>
      <c r="M115" s="3">
        <v>0</v>
      </c>
      <c r="N115" s="0" t="inlineStr">
        <is>
          <t>Já previsto no escopo MVP - execução condicionada à decisão 112 - revelar somente coincidências e permitir outra ideia - incluir API interface e testes - estimativa preliminar</t>
        </is>
      </c>
    </row>
    <row r="116">
      <c r="A116" s="0">
        <v>115</v>
      </c>
      <c r="B116" s="0" t="inlineStr">
        <is>
          <t>Conteúdo</t>
        </is>
      </c>
      <c r="C116" s="0" t="inlineStr">
        <is>
          <t>Operação editorial</t>
        </is>
      </c>
      <c r="D116" s="0" t="inlineStr">
        <is>
          <t>Unificar fonte editorial e validar importação do catálogo</t>
        </is>
      </c>
      <c r="E116" s="0" t="inlineStr">
        <is>
          <t>Conteúdo versionado e validado</t>
        </is>
      </c>
      <c r="F116" s="0" t="inlineStr">
        <is>
          <t>Crítica</t>
        </is>
      </c>
      <c r="G116" s="0" t="inlineStr">
        <is>
          <t>108,110,112</t>
        </is>
      </c>
      <c r="H116" s="0" t="inlineStr">
        <is>
          <t>Pesquisa e Conteúdo</t>
        </is>
      </c>
      <c r="I116" s="0" t="inlineStr">
        <is>
          <t>Não iniciado</t>
        </is>
      </c>
      <c r="J116" s="0">
        <v>16</v>
      </c>
      <c r="K116" s="0" t="inlineStr">
        <is>
          <t/>
        </is>
      </c>
      <c r="L116" s="0" t="inlineStr">
        <is>
          <t/>
        </is>
      </c>
      <c r="M116" s="3">
        <v>0</v>
      </c>
      <c r="N116" s="0" t="inlineStr">
        <is>
          <t>IDs estáveis por atividade tema nível duração formato revisão e publicação - planilhas como visões sem duplicar contagem - validação de schema cobertura e referências - estimativa preliminar</t>
        </is>
      </c>
    </row>
    <row r="117">
      <c r="A117" s="0">
        <v>116</v>
      </c>
      <c r="B117" s="0" t="inlineStr">
        <is>
          <t>Frontend</t>
        </is>
      </c>
      <c r="C117" s="0" t="inlineStr">
        <is>
          <t>Sessões de jogo</t>
        </is>
      </c>
      <c r="D117" s="0" t="inlineStr">
        <is>
          <t>Integrar partidas remotas e retomada em duas contas</t>
        </is>
      </c>
      <c r="E117" s="0" t="inlineStr">
        <is>
          <t>Jornada bilateral integrada</t>
        </is>
      </c>
      <c r="F117" s="0" t="inlineStr">
        <is>
          <t>Crítica</t>
        </is>
      </c>
      <c r="G117" s="0" t="inlineStr">
        <is>
          <t>111,53,54,109</t>
        </is>
      </c>
      <c r="H117" s="0" t="inlineStr">
        <is>
          <t>Engenharia Frontend</t>
        </is>
      </c>
      <c r="I117" s="0" t="inlineStr">
        <is>
          <t>Não iniciado</t>
        </is>
      </c>
      <c r="J117" s="0">
        <v>24</v>
      </c>
      <c r="K117" s="0" t="inlineStr">
        <is>
          <t/>
        </is>
      </c>
      <c r="L117" s="0" t="inlineStr">
        <is>
          <t/>
        </is>
      </c>
      <c r="M117" s="3">
        <v>0</v>
      </c>
      <c r="N117" s="0" t="inlineStr">
        <is>
          <t>Distinguir jogo local e remoto - autoria por conta retomada estados de rede pulo e revelação em perguntas desafios e misto - sem confirmar pela outra pessoa - estimativa preliminar</t>
        </is>
      </c>
    </row>
    <row r="118">
      <c r="A118" s="0">
        <v>117</v>
      </c>
      <c r="B118" s="0" t="inlineStr">
        <is>
          <t>Frontend</t>
        </is>
      </c>
      <c r="C118" s="0" t="inlineStr">
        <is>
          <t>Feedback</t>
        </is>
      </c>
      <c r="D118" s="0" t="inlineStr">
        <is>
          <t>Coletar feedback opcional por atividade</t>
        </is>
      </c>
      <c r="E118" s="0" t="inlineStr">
        <is>
          <t>Sinais de relevância e desconforto</t>
        </is>
      </c>
      <c r="F118" s="0" t="inlineStr">
        <is>
          <t>Alta</t>
        </is>
      </c>
      <c r="G118" s="0" t="inlineStr">
        <is>
          <t>116,52</t>
        </is>
      </c>
      <c r="H118" s="0" t="inlineStr">
        <is>
          <t>Engenharia Frontend</t>
        </is>
      </c>
      <c r="I118" s="0" t="inlineStr">
        <is>
          <t>Não iniciado</t>
        </is>
      </c>
      <c r="J118" s="0">
        <v>12</v>
      </c>
      <c r="K118" s="0" t="inlineStr">
        <is>
          <t/>
        </is>
      </c>
      <c r="L118" s="0" t="inlineStr">
        <is>
          <t/>
        </is>
      </c>
      <c r="M118" s="3">
        <v>0</v>
      </c>
      <c r="N118" s="0" t="inlineStr">
        <is>
          <t>Previsto no piloto - feedback curto opcional sem expor respostas íntimas e triagem editorial agregada - retirada usa operação 52 e 59 - estimativa preliminar</t>
        </is>
      </c>
    </row>
    <row r="119">
      <c r="A119" s="0">
        <v>118</v>
      </c>
      <c r="B119" s="0" t="inlineStr">
        <is>
          <t>Infraestrutura</t>
        </is>
      </c>
      <c r="C119" s="0" t="inlineStr">
        <is>
          <t>Recuperação</t>
        </is>
      </c>
      <c r="D119" s="0" t="inlineStr">
        <is>
          <t>Ensaiar restauração de backup e retorno de migração</t>
        </is>
      </c>
      <c r="E119" s="0" t="inlineStr">
        <is>
          <t>Evidência de recuperação</t>
        </is>
      </c>
      <c r="F119" s="0" t="inlineStr">
        <is>
          <t>Crítica</t>
        </is>
      </c>
      <c r="G119" s="0" t="inlineStr">
        <is>
          <t>41,38</t>
        </is>
      </c>
      <c r="H119" s="0" t="inlineStr">
        <is>
          <t>DevOps/Plataforma</t>
        </is>
      </c>
      <c r="I119" s="0" t="inlineStr">
        <is>
          <t>Não iniciado</t>
        </is>
      </c>
      <c r="J119" s="0">
        <v>8</v>
      </c>
      <c r="K119" s="0" t="inlineStr">
        <is>
          <t/>
        </is>
      </c>
      <c r="L119" s="0" t="inlineStr">
        <is>
          <t/>
        </is>
      </c>
      <c r="M119" s="3">
        <v>0</v>
      </c>
      <c r="N119" s="0" t="inlineStr">
        <is>
          <t>Ensaiar em recurso isolado conforme docs/AMBIENTES.md - metas iniciais RPO 24h RTO 4h backup diário e antes de migração retenção 30 dias - medir recuperação conferir integridade invalidar sessões e reaplicar exclusões - estimativa preliminar</t>
        </is>
      </c>
    </row>
    <row r="120">
      <c r="A120" s="0">
        <v>119</v>
      </c>
      <c r="B120" s="0" t="inlineStr">
        <is>
          <t>Frontend</t>
        </is>
      </c>
      <c r="C120" s="0" t="inlineStr">
        <is>
          <t>PWA</t>
        </is>
      </c>
      <c r="D120" s="0" t="inlineStr">
        <is>
          <t>Configurar instalação PWA e política de cache</t>
        </is>
      </c>
      <c r="E120" s="0" t="inlineStr">
        <is>
          <t>Manifest instalação e offline seguro</t>
        </is>
      </c>
      <c r="F120" s="0" t="inlineStr">
        <is>
          <t>Alta</t>
        </is>
      </c>
      <c r="G120" s="0" t="inlineStr">
        <is>
          <t>38,60,73</t>
        </is>
      </c>
      <c r="H120" s="0" t="inlineStr">
        <is>
          <t>Engenharia Frontend</t>
        </is>
      </c>
      <c r="I120" s="0" t="inlineStr">
        <is>
          <t>Não iniciado</t>
        </is>
      </c>
      <c r="J120" s="0">
        <v>12</v>
      </c>
      <c r="K120" s="0" t="inlineStr">
        <is>
          <t/>
        </is>
      </c>
      <c r="L120" s="0" t="inlineStr">
        <is>
          <t/>
        </is>
      </c>
      <c r="M120" s="3">
        <v>0</v>
      </c>
      <c r="N120" s="0" t="inlineStr">
        <is>
          <t>Formato PWA previsto no MVP - definir shell público sem cache de respostas privadas e validar atualização saída da conta e experiência offline - estimativa preliminar</t>
        </is>
      </c>
    </row>
    <row r="121">
      <c r="A121" s="0">
        <v>120</v>
      </c>
      <c r="B121" s="0" t="inlineStr">
        <is>
          <t>Planejamento</t>
        </is>
      </c>
      <c r="C121" s="0" t="inlineStr">
        <is>
          <t>Qualidade do plano</t>
        </is>
      </c>
      <c r="D121" s="0" t="inlineStr">
        <is>
          <t>Revisar coerência geral entre acompanhamento e entregas</t>
        </is>
      </c>
      <c r="E121" s="0" t="inlineStr">
        <is>
          <t>Relatório e plano reconciliado</t>
        </is>
      </c>
      <c r="F121" s="0" t="inlineStr">
        <is>
          <t>Alta</t>
        </is>
      </c>
      <c r="G121" s="0" t="inlineStr">
        <is>
          <t>34,24,109,110</t>
        </is>
      </c>
      <c r="H121" s="0" t="inlineStr">
        <is>
          <t>Product Owner — Tatyele Lopes</t>
        </is>
      </c>
      <c r="I121" s="0" t="inlineStr">
        <is>
          <t>Concluído</t>
        </is>
      </c>
      <c r="J121" s="0">
        <v>6</v>
      </c>
      <c r="K121" s="0" t="inlineStr">
        <is>
          <t/>
        </is>
      </c>
      <c r="L121" s="0" t="inlineStr">
        <is>
          <t/>
        </is>
      </c>
      <c r="M121" s="3">
        <v>1</v>
      </c>
      <c r="N121" s="0" t="inlineStr">
        <is>
          <t>Revisão em docs/REVISAO-GERAL-2026-09-04.md - confronto Excel código e documentos build aprovado achados rastreados notas CSV corrigidas e validador scripts/validate-project-plan.ps1</t>
        </is>
      </c>
    </row>
    <row r="122">
      <c r="A122" s="0">
        <v>121</v>
      </c>
      <c r="B122" s="0" t="inlineStr">
        <is>
          <t>Jurídico</t>
        </is>
      </c>
      <c r="C122" s="0" t="inlineStr">
        <is>
          <t>Privacidade</t>
        </is>
      </c>
      <c r="D122" s="0" t="inlineStr">
        <is>
          <t>Elaborar RIPD e testes de balanceamento</t>
        </is>
      </c>
      <c r="E122" s="0" t="inlineStr">
        <is>
          <t>RIPD e LIAs aprovados</t>
        </is>
      </c>
      <c r="F122" s="0" t="inlineStr">
        <is>
          <t>Crítica</t>
        </is>
      </c>
      <c r="G122" s="0" t="inlineStr">
        <is>
          <t>36,37,112</t>
        </is>
      </c>
      <c r="H122" s="0" t="inlineStr">
        <is>
          <t>Privacidade/Jurídico</t>
        </is>
      </c>
      <c r="I122" s="0" t="inlineStr">
        <is>
          <t>Não iniciado</t>
        </is>
      </c>
      <c r="J122" s="0">
        <v>20</v>
      </c>
      <c r="K122" s="0" t="inlineStr">
        <is>
          <t/>
        </is>
      </c>
      <c r="L122" s="0" t="inlineStr">
        <is>
          <t/>
        </is>
      </c>
      <c r="M122" s="3">
        <v>0</v>
      </c>
      <c r="N122" s="0" t="inlineStr">
        <is>
          <t>Concluir DEC-06 e DEC-10 do inventário LGPD - LIA-01 segurança LIA-02 analytics necessidade proporcionalidade salvaguardas risco residual e aceite formal antes do piloto</t>
        </is>
      </c>
    </row>
    <row r="123">
      <c r="A123" s="0">
        <v>122</v>
      </c>
      <c r="B123" s="0" t="inlineStr">
        <is>
          <t>Jurídico</t>
        </is>
      </c>
      <c r="C123" s="0" t="inlineStr">
        <is>
          <t>Fornecedores</t>
        </is>
      </c>
      <c r="D123" s="0" t="inlineStr">
        <is>
          <t>Cadastrar operadores e transferências internacionais</t>
        </is>
      </c>
      <c r="E123" s="0" t="inlineStr">
        <is>
          <t>Registro de operadores e contratos</t>
        </is>
      </c>
      <c r="F123" s="0" t="inlineStr">
        <is>
          <t>Crítica</t>
        </is>
      </c>
      <c r="G123" s="0" t="inlineStr">
        <is>
          <t>37,38,42</t>
        </is>
      </c>
      <c r="H123" s="0" t="inlineStr">
        <is>
          <t>Privacidade/Jurídico</t>
        </is>
      </c>
      <c r="I123" s="0" t="inlineStr">
        <is>
          <t>Não iniciado</t>
        </is>
      </c>
      <c r="J123" s="0">
        <v>12</v>
      </c>
      <c r="K123" s="0" t="inlineStr">
        <is>
          <t/>
        </is>
      </c>
      <c r="L123" s="0" t="inlineStr">
        <is>
          <t/>
        </is>
      </c>
      <c r="M123" s="3">
        <v>0</v>
      </c>
      <c r="N123" s="0" t="inlineStr">
        <is>
          <t>Concluir DEC-05 do inventário LGPD - due diligence DPA suboperadores regiões retenção saída incidentes e mecanismo válido da Resolução CD/ANPD 19/2024 antes de dados reais</t>
        </is>
      </c>
    </row>
    <row r="124">
      <c r="A124" s="0">
        <v>123</v>
      </c>
      <c r="B124" s="0" t="inlineStr">
        <is>
          <t>Infraestrutura</t>
        </is>
      </c>
      <c r="C124" s="0" t="inlineStr">
        <is>
          <t>DevOps</t>
        </is>
      </c>
      <c r="D124" s="0" t="inlineStr">
        <is>
          <t>Provisionar homologação e validar configuração por ambiente</t>
        </is>
      </c>
      <c r="E124" s="0" t="inlineStr">
        <is>
          <t>Homologação isolada com evidências</t>
        </is>
      </c>
      <c r="F124" s="0" t="inlineStr">
        <is>
          <t>Alta</t>
        </is>
      </c>
      <c r="G124" s="0" t="inlineStr">
        <is>
          <t>16,38,40,41,42,43,122</t>
        </is>
      </c>
      <c r="H124" s="0" t="inlineStr">
        <is>
          <t>DevOps/Plataforma</t>
        </is>
      </c>
      <c r="I124" s="0" t="inlineStr">
        <is>
          <t>Não iniciado</t>
        </is>
      </c>
      <c r="J124" s="0">
        <v>16</v>
      </c>
      <c r="K124" s="0" t="inlineStr">
        <is>
          <t/>
        </is>
      </c>
      <c r="L124" s="0" t="inlineStr">
        <is>
          <t/>
        </is>
      </c>
      <c r="M124" s="3">
        <v>0</v>
      </c>
      <c r="N124" s="0" t="inlineStr">
        <is>
          <t>Implementar docs/AMBIENTES.md com HTTPS acesso restrito dados sintéticos API na mesma origem e isolamento de produção - validar APP_ENV APP_ORIGIN PORT e rejeitar JSON remoto - testar publicação e registrar provedor região custo e configuração sem segredos - estimativa preliminar</t>
        </is>
      </c>
    </row>
    <row r="125">
      <c r="A125" s="0">
        <v>124</v>
      </c>
      <c r="B125" s="0" t="inlineStr">
        <is>
          <t>MPV de teste</t>
        </is>
      </c>
      <c r="C125" s="0" t="inlineStr">
        <is>
          <t>Produto</t>
        </is>
      </c>
      <c r="D125" s="0" t="inlineStr">
        <is>
          <t>Definir hipótese e critérios de decisão do MPV</t>
        </is>
      </c>
      <c r="E125" s="0" t="inlineStr">
        <is>
          <t>Hipótese e métricas do MPV</t>
        </is>
      </c>
      <c r="F125" s="0" t="inlineStr">
        <is>
          <t>Crítica</t>
        </is>
      </c>
      <c r="G125" s="0" t="inlineStr">
        <is>
          <t/>
        </is>
      </c>
      <c r="H125" s="0" t="inlineStr">
        <is>
          <t>Product Owner — Tatyele Lopes</t>
        </is>
      </c>
      <c r="I125" s="0" t="inlineStr">
        <is>
          <t>Concluído</t>
        </is>
      </c>
      <c r="J125" s="0">
        <v>3</v>
      </c>
      <c r="K125" s="0" t="inlineStr">
        <is>
          <t>12/09/2026</t>
        </is>
      </c>
      <c r="L125" s="0" t="inlineStr">
        <is>
          <t>12/09/2026</t>
        </is>
      </c>
      <c r="M125" s="3">
        <v>1</v>
      </c>
      <c r="N125" s="0" t="inlineStr">
        <is>
          <t>Trilha adicional ao plano completo — validar se casais entendem e desejam repetir jogos curtos de conexão no mesmo celular — critérios em docs/ESCOPO-MPV.md</t>
        </is>
      </c>
    </row>
    <row r="126">
      <c r="A126" s="0">
        <v>125</v>
      </c>
      <c r="B126" s="0" t="inlineStr">
        <is>
          <t>MPV de teste</t>
        </is>
      </c>
      <c r="C126" s="0" t="inlineStr">
        <is>
          <t>Produto</t>
        </is>
      </c>
      <c r="D126" s="0" t="inlineStr">
        <is>
          <t>Congelar o escopo em dois jogos passa-e-joga</t>
        </is>
      </c>
      <c r="E126" s="0" t="inlineStr">
        <is>
          <t>Backlog mínimo aprovado</t>
        </is>
      </c>
      <c r="F126" s="0" t="inlineStr">
        <is>
          <t>Crítica</t>
        </is>
      </c>
      <c r="G126" s="0" t="inlineStr">
        <is>
          <t>124</t>
        </is>
      </c>
      <c r="H126" s="0" t="inlineStr">
        <is>
          <t>Product Owner — Tatyele Lopes</t>
        </is>
      </c>
      <c r="I126" s="0" t="inlineStr">
        <is>
          <t>Concluído</t>
        </is>
      </c>
      <c r="J126" s="0">
        <v>3</v>
      </c>
      <c r="K126" s="0" t="inlineStr">
        <is>
          <t>12/09/2026</t>
        </is>
      </c>
      <c r="L126" s="0" t="inlineStr">
        <is>
          <t>12/09/2026</t>
        </is>
      </c>
      <c r="M126" s="3">
        <v>1</v>
      </c>
      <c r="N126" s="0" t="inlineStr">
        <is>
          <t>Somente Descoberta a Dois e Adivinhe de Mim — sem pesquisa prévia cadastro pareamento remoto backend ou testes de personalidade neste teste</t>
        </is>
      </c>
    </row>
    <row r="127">
      <c r="A127" s="0">
        <v>126</v>
      </c>
      <c r="B127" s="0" t="inlineStr">
        <is>
          <t>MPV de teste</t>
        </is>
      </c>
      <c r="C127" s="0" t="inlineStr">
        <is>
          <t>UX</t>
        </is>
      </c>
      <c r="D127" s="0" t="inlineStr">
        <is>
          <t>Simplificar a jornada para entrada escolha jogo rodada e feedback</t>
        </is>
      </c>
      <c r="E127" s="0" t="inlineStr">
        <is>
          <t>Fluxo do MPV</t>
        </is>
      </c>
      <c r="F127" s="0" t="inlineStr">
        <is>
          <t>Crítica</t>
        </is>
      </c>
      <c r="G127" s="0" t="inlineStr">
        <is>
          <t>125</t>
        </is>
      </c>
      <c r="H127" s="0" t="inlineStr">
        <is>
          <t>Product Designer</t>
        </is>
      </c>
      <c r="I127" s="0" t="inlineStr">
        <is>
          <t>Concluído</t>
        </is>
      </c>
      <c r="J127" s="0">
        <v>4</v>
      </c>
      <c r="K127" s="0" t="inlineStr">
        <is>
          <t>13/09/2026</t>
        </is>
      </c>
      <c r="L127" s="0" t="inlineStr">
        <is>
          <t>14/09/2026</t>
        </is>
      </c>
      <c r="M127" s="3">
        <v>1</v>
      </c>
      <c r="N127" s="0" t="inlineStr">
        <is>
          <t>Fluxo aprovado em docs/FLUXO-MPV.md com seis estados entrada direta dois jogos de três rodadas feedback de três sinais exceções e critérios de aceite — concluído antecipadamente em 12/09/2026</t>
        </is>
      </c>
    </row>
    <row r="128">
      <c r="A128" s="0">
        <v>127</v>
      </c>
      <c r="B128" s="0" t="inlineStr">
        <is>
          <t>MPV de teste</t>
        </is>
      </c>
      <c r="C128" s="0" t="inlineStr">
        <is>
          <t>Editorial</t>
        </is>
      </c>
      <c r="D128" s="0" t="inlineStr">
        <is>
          <t>Selecionar doze cartas leves para os dois jogos</t>
        </is>
      </c>
      <c r="E128" s="0" t="inlineStr">
        <is>
          <t>Lote mínimo de conteúdo</t>
        </is>
      </c>
      <c r="F128" s="0" t="inlineStr">
        <is>
          <t>Alta</t>
        </is>
      </c>
      <c r="G128" s="0" t="inlineStr">
        <is>
          <t>125</t>
        </is>
      </c>
      <c r="H128" s="0" t="inlineStr">
        <is>
          <t>Conteúdo</t>
        </is>
      </c>
      <c r="I128" s="0" t="inlineStr">
        <is>
          <t>Concluído</t>
        </is>
      </c>
      <c r="J128" s="0">
        <v>4</v>
      </c>
      <c r="K128" s="0" t="inlineStr">
        <is>
          <t>13/09/2026</t>
        </is>
      </c>
      <c r="L128" s="0" t="inlineStr">
        <is>
          <t>14/09/2026</t>
        </is>
      </c>
      <c r="M128" s="3">
        <v>1</v>
      </c>
      <c r="N128" s="0" t="inlineStr">
        <is>
          <t>Lote aprovado em docs/CONTEUDO-MPV.md e src/features/game/mpv-cards.json — seis cartas por jogo com IDs únicos origem rastreável e quatro alternativas por carta de adivinhação — concluído antecipadamente em 12/09/2026</t>
        </is>
      </c>
    </row>
    <row r="129">
      <c r="A129" s="0">
        <v>128</v>
      </c>
      <c r="B129" s="0" t="inlineStr">
        <is>
          <t>MPV de teste</t>
        </is>
      </c>
      <c r="C129" s="0" t="inlineStr">
        <is>
          <t>Frontend</t>
        </is>
      </c>
      <c r="D129" s="0" t="inlineStr">
        <is>
          <t>Criar entrada direta e seleção entre os dois jogos</t>
        </is>
      </c>
      <c r="E129" s="0" t="inlineStr">
        <is>
          <t>Tela inicial funcional</t>
        </is>
      </c>
      <c r="F129" s="0" t="inlineStr">
        <is>
          <t>Crítica</t>
        </is>
      </c>
      <c r="G129" s="0" t="inlineStr">
        <is>
          <t>126</t>
        </is>
      </c>
      <c r="H129" s="0" t="inlineStr">
        <is>
          <t>Engenharia Frontend</t>
        </is>
      </c>
      <c r="I129" s="0" t="inlineStr">
        <is>
          <t>Concluído</t>
        </is>
      </c>
      <c r="J129" s="0">
        <v>5</v>
      </c>
      <c r="K129" s="0" t="inlineStr">
        <is>
          <t>15/09/2026</t>
        </is>
      </c>
      <c r="L129" s="0" t="inlineStr">
        <is>
          <t>15/09/2026</t>
        </is>
      </c>
      <c r="M129" s="3">
        <v>1</v>
      </c>
      <c r="N129" s="0" t="inlineStr">
        <is>
          <t>Entrada direta responsiva com seleção e instruções dos dois jogos implementada sem cadastro ou pareamento, com apresentação neutra sem o nome do aplicativo em título metadados cabeçalho ou rodapé e com o aplicativo completo preservado em src/App.tsx — atualizado em 14/09/2026</t>
        </is>
      </c>
    </row>
    <row r="130">
      <c r="A130" s="0">
        <v>129</v>
      </c>
      <c r="B130" s="0" t="inlineStr">
        <is>
          <t>MPV de teste</t>
        </is>
      </c>
      <c r="C130" s="0" t="inlineStr">
        <is>
          <t>Jogo 1</t>
        </is>
      </c>
      <c r="D130" s="0" t="inlineStr">
        <is>
          <t>Implementar Descoberta a Dois</t>
        </is>
      </c>
      <c r="E130" s="0" t="inlineStr">
        <is>
          <t>Jogo 1 funcional</t>
        </is>
      </c>
      <c r="F130" s="0" t="inlineStr">
        <is>
          <t>Crítica</t>
        </is>
      </c>
      <c r="G130" s="0" t="inlineStr">
        <is>
          <t>127,128</t>
        </is>
      </c>
      <c r="H130" s="0" t="inlineStr">
        <is>
          <t>Engenharia Frontend</t>
        </is>
      </c>
      <c r="I130" s="0" t="inlineStr">
        <is>
          <t>Concluído</t>
        </is>
      </c>
      <c r="J130" s="0">
        <v>8</v>
      </c>
      <c r="K130" s="0" t="inlineStr">
        <is>
          <t>16/09/2026</t>
        </is>
      </c>
      <c r="L130" s="0" t="inlineStr">
        <is>
          <t>17/09/2026</t>
        </is>
      </c>
      <c r="M130" s="3">
        <v>1</v>
      </c>
      <c r="N130" s="0" t="inlineStr">
        <is>
          <t>Fluxo responsivo implementado com três perguntas únicas sorteadas, orientação para respostas em voz alta, avanço, opção de pular, progresso e encerramento sem armazenar respostas — concluído antecipadamente em 12/09/2026</t>
        </is>
      </c>
    </row>
    <row r="131">
      <c r="A131" s="0">
        <v>130</v>
      </c>
      <c r="B131" s="0" t="inlineStr">
        <is>
          <t>MPV de teste</t>
        </is>
      </c>
      <c r="C131" s="0" t="inlineStr">
        <is>
          <t>Jogo 2</t>
        </is>
      </c>
      <c r="D131" s="0" t="inlineStr">
        <is>
          <t>Implementar Adivinhe de Mim</t>
        </is>
      </c>
      <c r="E131" s="0" t="inlineStr">
        <is>
          <t>Jogo 2 funcional</t>
        </is>
      </c>
      <c r="F131" s="0" t="inlineStr">
        <is>
          <t>Crítica</t>
        </is>
      </c>
      <c r="G131" s="0" t="inlineStr">
        <is>
          <t>127,128</t>
        </is>
      </c>
      <c r="H131" s="0" t="inlineStr">
        <is>
          <t>Engenharia Frontend</t>
        </is>
      </c>
      <c r="I131" s="0" t="inlineStr">
        <is>
          <t>Concluído</t>
        </is>
      </c>
      <c r="J131" s="0">
        <v>10</v>
      </c>
      <c r="K131" s="0" t="inlineStr">
        <is>
          <t>16/09/2026</t>
        </is>
      </c>
      <c r="L131" s="0" t="inlineStr">
        <is>
          <t>18/09/2026</t>
        </is>
      </c>
      <c r="M131" s="3">
        <v>1</v>
      </c>
      <c r="N131" s="0" t="inlineStr">
        <is>
          <t>Fluxo responsivo implementado com três cartas únicas, escolha secreta, passagem protegida do aparelho, palpite, revelação, contagem de acertos e alternância automática de papéis sem armazenar respostas — concluído antecipadamente em 12/09/2026</t>
        </is>
      </c>
    </row>
    <row r="132">
      <c r="A132" s="0">
        <v>131</v>
      </c>
      <c r="B132" s="0" t="inlineStr">
        <is>
          <t>MPV de teste</t>
        </is>
      </c>
      <c r="C132" s="0" t="inlineStr">
        <is>
          <t>Feedback</t>
        </is>
      </c>
      <c r="D132" s="0" t="inlineStr">
        <is>
          <t>Adicionar fechamento e feedback de três sinais</t>
        </is>
      </c>
      <c r="E132" s="0" t="inlineStr">
        <is>
          <t>Feedback funcional</t>
        </is>
      </c>
      <c r="F132" s="0" t="inlineStr">
        <is>
          <t>Alta</t>
        </is>
      </c>
      <c r="G132" s="0" t="inlineStr">
        <is>
          <t>129,130</t>
        </is>
      </c>
      <c r="H132" s="0" t="inlineStr">
        <is>
          <t>Engenharia Frontend</t>
        </is>
      </c>
      <c r="I132" s="0" t="inlineStr">
        <is>
          <t>Concluído</t>
        </is>
      </c>
      <c r="J132" s="0">
        <v>4</v>
      </c>
      <c r="K132" s="0" t="inlineStr">
        <is>
          <t>19/09/2026</t>
        </is>
      </c>
      <c r="L132" s="0" t="inlineStr">
        <is>
          <t>19/09/2026</t>
        </is>
      </c>
      <c r="M132" s="3">
        <v>1</v>
      </c>
      <c r="N132" s="0" t="inlineStr">
        <is>
          <t>Feedback binário compartilhado implementado nos dois jogos com registro local somente do jogo concluído, clareza, descoberta ou conexão e intenção de jogar novamente, sem conteúdo das rodadas — concluído antecipadamente em 12/09/2026</t>
        </is>
      </c>
    </row>
    <row r="133">
      <c r="A133" s="0">
        <v>132</v>
      </c>
      <c r="B133" s="0" t="inlineStr">
        <is>
          <t>MPV de teste</t>
        </is>
      </c>
      <c r="C133" s="0" t="inlineStr">
        <is>
          <t>Compatibilidade</t>
        </is>
      </c>
      <c r="D133" s="0" t="inlineStr">
        <is>
          <t>Validar fluxo crítico em celulares</t>
        </is>
      </c>
      <c r="E133" s="0" t="inlineStr">
        <is>
          <t>Checklist mobile aprovado</t>
        </is>
      </c>
      <c r="F133" s="0" t="inlineStr">
        <is>
          <t>Crítica</t>
        </is>
      </c>
      <c r="G133" s="0" t="inlineStr">
        <is>
          <t>128-131</t>
        </is>
      </c>
      <c r="H133" s="0" t="inlineStr">
        <is>
          <t>Qualidade</t>
        </is>
      </c>
      <c r="I133" s="0" t="inlineStr">
        <is>
          <t>Em andamento</t>
        </is>
      </c>
      <c r="J133" s="0">
        <v>5</v>
      </c>
      <c r="K133" s="0" t="inlineStr">
        <is>
          <t>20/09/2026</t>
        </is>
      </c>
      <c r="L133" s="0" t="inlineStr">
        <is>
          <t>20/09/2026</t>
        </is>
      </c>
      <c r="M133" s="3">
        <v>0.5</v>
      </c>
      <c r="N133" s="0" t="inlineStr">
        <is>
          <t>Matriz Chromium revalidada em 14/09/2026 com cinco viewports e 95 estados em docs/VALIDACAO-MOBILE-MPV-2026-09-14.md — MOB-01 a MOB-03 resolvidos, sem overflow ou exposição do nome do aplicativo e com toque pulo confirmação rotação fluxos completos e reinício aprovados — pendente somente passagem física em Chrome Android e Safari iOS</t>
        </is>
      </c>
    </row>
    <row r="134">
      <c r="A134" s="0">
        <v>133</v>
      </c>
      <c r="B134" s="0" t="inlineStr">
        <is>
          <t>MPV de teste</t>
        </is>
      </c>
      <c r="C134" s="0" t="inlineStr">
        <is>
          <t>Acessibilidade</t>
        </is>
      </c>
      <c r="D134" s="0" t="inlineStr">
        <is>
          <t>Corrigir barreiras críticas de uso</t>
        </is>
      </c>
      <c r="E134" s="0" t="inlineStr">
        <is>
          <t>Checklist de acessibilidade</t>
        </is>
      </c>
      <c r="F134" s="0" t="inlineStr">
        <is>
          <t>Alta</t>
        </is>
      </c>
      <c r="G134" s="0" t="inlineStr">
        <is>
          <t>128-131</t>
        </is>
      </c>
      <c r="H134" s="0" t="inlineStr">
        <is>
          <t>Qualidade</t>
        </is>
      </c>
      <c r="I134" s="0" t="inlineStr">
        <is>
          <t>Em andamento</t>
        </is>
      </c>
      <c r="J134" s="0">
        <v>4</v>
      </c>
      <c r="K134" s="0" t="inlineStr">
        <is>
          <t>20/09/2026</t>
        </is>
      </c>
      <c r="L134" s="0" t="inlineStr">
        <is>
          <t>21/09/2026</t>
        </is>
      </c>
      <c r="M134" s="3">
        <v>0.5</v>
      </c>
      <c r="N134" s="0" t="inlineStr">
        <is>
          <t>MOB-03 resolvido em 14/09/2026 com todos os alvos visíveis em pelo menos 44 px e nomes acessíveis aprovados na matriz móvel — pendentes validações formais de foco contraste e redução de movimento</t>
        </is>
      </c>
    </row>
    <row r="135">
      <c r="A135" s="0">
        <v>134</v>
      </c>
      <c r="B135" s="0" t="inlineStr">
        <is>
          <t>MPV de teste</t>
        </is>
      </c>
      <c r="C135" s="0" t="inlineStr">
        <is>
          <t>Qualidade</t>
        </is>
      </c>
      <c r="D135" s="0" t="inlineStr">
        <is>
          <t>Executar QA do caminho feliz e falhas básicas</t>
        </is>
      </c>
      <c r="E135" s="0" t="inlineStr">
        <is>
          <t>MPV candidato à validação</t>
        </is>
      </c>
      <c r="F135" s="0" t="inlineStr">
        <is>
          <t>Crítica</t>
        </is>
      </c>
      <c r="G135" s="0" t="inlineStr">
        <is>
          <t>132,133</t>
        </is>
      </c>
      <c r="H135" s="0" t="inlineStr">
        <is>
          <t>Qualidade</t>
        </is>
      </c>
      <c r="I135" s="0" t="inlineStr">
        <is>
          <t>Não iniciado</t>
        </is>
      </c>
      <c r="J135" s="0">
        <v>5</v>
      </c>
      <c r="K135" s="0" t="inlineStr">
        <is>
          <t>21/09/2026</t>
        </is>
      </c>
      <c r="L135" s="0" t="inlineStr">
        <is>
          <t>21/09/2026</t>
        </is>
      </c>
      <c r="M135" s="3">
        <v>0</v>
      </c>
      <c r="N135" s="0" t="inlineStr">
        <is>
          <t>Validador móvel já cobre caminhos felizes pulo limpeza de escolha reinício e cancelamento de saída — iniciar aceite formal após concluir 132 e 133 e confirmar troca entre jogos sem estado residual</t>
        </is>
      </c>
    </row>
    <row r="136">
      <c r="A136" s="0">
        <v>135</v>
      </c>
      <c r="B136" s="0" t="inlineStr">
        <is>
          <t>MPV de teste</t>
        </is>
      </c>
      <c r="C136" s="0" t="inlineStr">
        <is>
          <t>Operação</t>
        </is>
      </c>
      <c r="D136" s="0" t="inlineStr">
        <is>
          <t>Disponibilizar demonstração controlada</t>
        </is>
      </c>
      <c r="E136" s="0" t="inlineStr">
        <is>
          <t>Link de demonstração</t>
        </is>
      </c>
      <c r="F136" s="0" t="inlineStr">
        <is>
          <t>Crítica</t>
        </is>
      </c>
      <c r="G136" s="0" t="inlineStr">
        <is>
          <t>134</t>
        </is>
      </c>
      <c r="H136" s="0" t="inlineStr">
        <is>
          <t>Engenharia Frontend</t>
        </is>
      </c>
      <c r="I136" s="0" t="inlineStr">
        <is>
          <t>Não iniciado</t>
        </is>
      </c>
      <c r="J136" s="0">
        <v>4</v>
      </c>
      <c r="K136" s="0" t="inlineStr">
        <is>
          <t>22/09/2026</t>
        </is>
      </c>
      <c r="L136" s="0" t="inlineStr">
        <is>
          <t>22/09/2026</t>
        </is>
      </c>
      <c r="M136" s="3">
        <v>0</v>
      </c>
      <c r="N136" s="0" t="inlineStr">
        <is>
          <t>Publicação temporária sem cadastro dados pessoais analytics de terceiros ou indexação pública</t>
        </is>
      </c>
    </row>
    <row r="137">
      <c r="A137" s="0">
        <v>136</v>
      </c>
      <c r="B137" s="0" t="inlineStr">
        <is>
          <t>MPV de teste</t>
        </is>
      </c>
      <c r="C137" s="0" t="inlineStr">
        <is>
          <t>Validação</t>
        </is>
      </c>
      <c r="D137" s="0" t="inlineStr">
        <is>
          <t>Validar o formato com cinco casais</t>
        </is>
      </c>
      <c r="E137" s="0" t="inlineStr">
        <is>
          <t>Placar dos critérios de decisão</t>
        </is>
      </c>
      <c r="F137" s="0" t="inlineStr">
        <is>
          <t>Crítica</t>
        </is>
      </c>
      <c r="G137" s="0" t="inlineStr">
        <is>
          <t>135</t>
        </is>
      </c>
      <c r="H137" s="0" t="inlineStr">
        <is>
          <t>Product Owner — Tatyele Lopes</t>
        </is>
      </c>
      <c r="I137" s="0" t="inlineStr">
        <is>
          <t>Não iniciado</t>
        </is>
      </c>
      <c r="J137" s="0">
        <v>8</v>
      </c>
      <c r="K137" s="0" t="inlineStr">
        <is>
          <t>23/09/2026</t>
        </is>
      </c>
      <c r="L137" s="0" t="inlineStr">
        <is>
          <t>27/09/2026</t>
        </is>
      </c>
      <c r="M137" s="3">
        <v>0</v>
      </c>
      <c r="N137" s="0" t="inlineStr">
        <is>
          <t>Cada casal joga sem mediação e envia apenas os três sinais do produto — não há entrevistas nem etapa de pesquisa dentro do MPV</t>
        </is>
      </c>
    </row>
    <row r="138">
      <c r="A138" s="0">
        <v>137</v>
      </c>
      <c r="B138" s="0" t="inlineStr">
        <is>
          <t>MPV de teste</t>
        </is>
      </c>
      <c r="C138" s="0" t="inlineStr">
        <is>
          <t>Produto</t>
        </is>
      </c>
      <c r="D138" s="0" t="inlineStr">
        <is>
          <t>Incorporar aprendizados ao plano inicial do aplicativo</t>
        </is>
      </c>
      <c r="E138" s="0" t="inlineStr">
        <is>
          <t>Decisão e recomendações registradas</t>
        </is>
      </c>
      <c r="F138" s="0" t="inlineStr">
        <is>
          <t>Crítica</t>
        </is>
      </c>
      <c r="G138" s="0" t="inlineStr">
        <is>
          <t>136</t>
        </is>
      </c>
      <c r="H138" s="0" t="inlineStr">
        <is>
          <t>Product Owner — Tatyele Lopes</t>
        </is>
      </c>
      <c r="I138" s="0" t="inlineStr">
        <is>
          <t>Não iniciado</t>
        </is>
      </c>
      <c r="J138" s="0">
        <v>3</v>
      </c>
      <c r="K138" s="0" t="inlineStr">
        <is>
          <t>28/09/2026</t>
        </is>
      </c>
      <c r="L138" s="0" t="inlineStr">
        <is>
          <t>28/09/2026</t>
        </is>
      </c>
      <c r="M138" s="3">
        <v>0</v>
      </c>
      <c r="N138" s="0" t="inlineStr">
        <is>
          <t>Registrar continuar ajustar ou encerrar o formato e quais evidências devem orientar a futura revisão do plano completo sem alterá-lo automaticamente</t>
        </is>
      </c>
    </row>
  </sheetData>
  <autoFilter ref="A1:N138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MPV1</t>
        </is>
      </c>
      <c r="B2" s="0" t="inlineStr">
        <is>
          <t>Escopo e fluxo do teste aprovados</t>
        </is>
      </c>
      <c r="C2" s="0">
        <v>126</v>
      </c>
      <c r="D2" s="0" t="inlineStr">
        <is>
          <t>Concluído</t>
        </is>
      </c>
      <c r="E2" s="0" t="inlineStr">
        <is>
          <t>Dois jogos um aparelho critérios de decisão e fluxo documentados</t>
        </is>
      </c>
      <c r="F2" s="0" t="inlineStr">
        <is>
          <t>12/09/2026</t>
        </is>
      </c>
      <c r="G2" s="0" t="inlineStr">
        <is>
          <t/>
        </is>
      </c>
    </row>
    <row r="3">
      <c r="A3" s="0" t="inlineStr">
        <is>
          <t>MPV2</t>
        </is>
      </c>
      <c r="B3" s="0" t="inlineStr">
        <is>
          <t>Dois jogos jogáveis</t>
        </is>
      </c>
      <c r="C3" s="0">
        <v>131</v>
      </c>
      <c r="D3" s="0" t="inlineStr">
        <is>
          <t>Não iniciado</t>
        </is>
      </c>
      <c r="E3" s="0" t="inlineStr">
        <is>
          <t>Jornadas completas com lote mínimo e feedback no produto</t>
        </is>
      </c>
      <c r="F3" s="0" t="inlineStr">
        <is>
          <t>19/09/2026</t>
        </is>
      </c>
      <c r="G3" s="0" t="inlineStr">
        <is>
          <t/>
        </is>
      </c>
    </row>
    <row r="4">
      <c r="A4" s="0" t="inlineStr">
        <is>
          <t>MPV3</t>
        </is>
      </c>
      <c r="B4" s="0" t="inlineStr">
        <is>
          <t>Demonstração do teste pronta</t>
        </is>
      </c>
      <c r="C4" s="0">
        <v>135</v>
      </c>
      <c r="D4" s="0" t="inlineStr">
        <is>
          <t>Não iniciado</t>
        </is>
      </c>
      <c r="E4" s="0" t="inlineStr">
        <is>
          <t>QA crítico aprovado e link controlado disponível</t>
        </is>
      </c>
      <c r="F4" s="0" t="inlineStr">
        <is>
          <t>22/09/2026</t>
        </is>
      </c>
      <c r="G4" s="0" t="inlineStr">
        <is>
          <t/>
        </is>
      </c>
    </row>
    <row r="5">
      <c r="A5" s="0" t="inlineStr">
        <is>
          <t>MPV4</t>
        </is>
      </c>
      <c r="B5" s="0" t="inlineStr">
        <is>
          <t>Aprendizados incorporados</t>
        </is>
      </c>
      <c r="C5" s="0">
        <v>137</v>
      </c>
      <c r="D5" s="0" t="inlineStr">
        <is>
          <t>Não iniciado</t>
        </is>
      </c>
      <c r="E5" s="0" t="inlineStr">
        <is>
          <t>Sinais de cinco casais registrados como insumo para revisão futura do plano completo</t>
        </is>
      </c>
      <c r="F5" s="0" t="inlineStr">
        <is>
          <t>28/09/2026</t>
        </is>
      </c>
      <c r="G5" s="0" t="inlineStr">
        <is>
          <t/>
        </is>
      </c>
    </row>
    <row r="6">
      <c r="A6" s="0" t="inlineStr">
        <is>
          <t>MC1</t>
        </is>
      </c>
      <c r="B6" s="0" t="inlineStr">
        <is>
          <t>Baseline aprovada</t>
        </is>
      </c>
      <c r="C6" s="0">
        <v>13</v>
      </c>
      <c r="D6" s="0" t="inlineStr">
        <is>
          <t>Em andamento</t>
        </is>
      </c>
      <c r="E6" s="0" t="inlineStr">
        <is>
          <t>PRD escopo MoSCoW papéis e pesquisa aprovados</t>
        </is>
      </c>
      <c r="F6" s="0" t="inlineStr">
        <is>
          <t>18/09/2026</t>
        </is>
      </c>
      <c r="G6" s="0" t="inlineStr">
        <is>
          <t/>
        </is>
      </c>
    </row>
    <row r="7">
      <c r="A7" s="0" t="inlineStr">
        <is>
          <t>MC2</t>
        </is>
      </c>
      <c r="B7" s="0" t="inlineStr">
        <is>
          <t>Personas e oportunidades validadas</t>
        </is>
      </c>
      <c r="C7" s="0">
        <v>4</v>
      </c>
      <c r="D7" s="0" t="inlineStr">
        <is>
          <t>Em andamento</t>
        </is>
      </c>
      <c r="E7" s="0" t="inlineStr">
        <is>
          <t>24 entrevistas analisadas e personas revisadas</t>
        </is>
      </c>
      <c r="F7" s="0" t="inlineStr">
        <is>
          <t>02/10/2026</t>
        </is>
      </c>
      <c r="G7" s="0" t="inlineStr">
        <is>
          <t/>
        </is>
      </c>
    </row>
    <row r="8">
      <c r="A8" s="0" t="inlineStr">
        <is>
          <t>MC3</t>
        </is>
      </c>
      <c r="B8" s="0" t="inlineStr">
        <is>
          <t>Mecânicas e padrão editorial aprovados</t>
        </is>
      </c>
      <c r="C8" s="0">
        <v>31</v>
      </c>
      <c r="D8" s="0" t="inlineStr">
        <is>
          <t>Não iniciado</t>
        </is>
      </c>
      <c r="E8" s="0" t="inlineStr">
        <is>
          <t>Três protótipos testados e primeiro lote revisado</t>
        </is>
      </c>
      <c r="F8" s="0" t="inlineStr">
        <is>
          <t>16/10/2026</t>
        </is>
      </c>
      <c r="G8" s="0" t="inlineStr">
        <is>
          <t/>
        </is>
      </c>
    </row>
    <row r="9">
      <c r="A9" s="0" t="inlineStr">
        <is>
          <t>MC4</t>
        </is>
      </c>
      <c r="B9" s="0" t="inlineStr">
        <is>
          <t>Fundação técnica pronta</t>
        </is>
      </c>
      <c r="C9" s="0">
        <v>123</v>
      </c>
      <c r="D9" s="0" t="inlineStr">
        <is>
          <t>Em andamento</t>
        </is>
      </c>
      <c r="E9" s="0" t="inlineStr">
        <is>
          <t>PostgreSQL CI segredos observabilidade recuperação 118 e homologação operacional 123 conforme estratégia 38</t>
        </is>
      </c>
      <c r="F9" s="0" t="inlineStr">
        <is>
          <t>23/10/2026</t>
        </is>
      </c>
      <c r="G9" s="0" t="inlineStr">
        <is>
          <t/>
        </is>
      </c>
    </row>
    <row r="10">
      <c r="A10" s="0" t="inlineStr">
        <is>
          <t>MC5</t>
        </is>
      </c>
      <c r="B10" s="0" t="inlineStr">
        <is>
          <t>MVP feature-complete</t>
        </is>
      </c>
      <c r="C10" s="0">
        <v>75</v>
      </c>
      <c r="D10" s="0" t="inlineStr">
        <is>
          <t>Em andamento</t>
        </is>
      </c>
      <c r="E10" s="0" t="inlineStr">
        <is>
          <t>Jornada bilateral validada incluindo 111 e 116 e métricas 106-107 — 113-114 conforme decisão 112</t>
        </is>
      </c>
      <c r="F10" s="0" t="inlineStr">
        <is>
          <t>20/11/2026</t>
        </is>
      </c>
      <c r="G10" s="0" t="inlineStr">
        <is>
          <t/>
        </is>
      </c>
    </row>
    <row r="11">
      <c r="A11" s="0" t="inlineStr">
        <is>
          <t>MC6</t>
        </is>
      </c>
      <c r="B11" s="0" t="inlineStr">
        <is>
          <t>Conteúdo do piloto aprovado</t>
        </is>
      </c>
      <c r="C11" s="0">
        <v>77</v>
      </c>
      <c r="D11" s="0" t="inlineStr">
        <is>
          <t>Não iniciado</t>
        </is>
      </c>
      <c r="E11" s="0" t="inlineStr">
        <is>
          <t>60 atividades aprovadas com origem nível teste e revisão — tarefas 77 108 110 e 115</t>
        </is>
      </c>
      <c r="F11" s="0" t="inlineStr">
        <is>
          <t>27/11/2026</t>
        </is>
      </c>
      <c r="G11" s="0" t="inlineStr">
        <is>
          <t/>
        </is>
      </c>
    </row>
    <row r="12">
      <c r="A12" s="0" t="inlineStr">
        <is>
          <t>MC7</t>
        </is>
      </c>
      <c r="B12" s="0" t="inlineStr">
        <is>
          <t>Release candidate</t>
        </is>
      </c>
      <c r="C12" s="0">
        <v>96</v>
      </c>
      <c r="D12" s="0" t="inlineStr">
        <is>
          <t>Não iniciado</t>
        </is>
      </c>
      <c r="E12" s="0" t="inlineStr">
        <is>
          <t>QA segurança acessibilidade privacidade UAT e restauração 118 sem bloqueador — PWA 119 validada</t>
        </is>
      </c>
      <c r="F12" s="0" t="inlineStr">
        <is>
          <t>18/12/2026</t>
        </is>
      </c>
      <c r="G12" s="0" t="inlineStr">
        <is>
          <t/>
        </is>
      </c>
    </row>
    <row r="13">
      <c r="A13" s="0" t="inlineStr">
        <is>
          <t>MC8</t>
        </is>
      </c>
      <c r="B13" s="0" t="inlineStr">
        <is>
          <t>Go/no-go do piloto</t>
        </is>
      </c>
      <c r="C13" s="0">
        <v>98</v>
      </c>
      <c r="D13" s="0" t="inlineStr">
        <is>
          <t>Não iniciado</t>
        </is>
      </c>
      <c r="E13" s="0" t="inlineStr">
        <is>
          <t>Coorte suporte métricas e release confirmados</t>
        </is>
      </c>
      <c r="F13" s="0" t="inlineStr">
        <is>
          <t>08/01/2027</t>
        </is>
      </c>
      <c r="G13" s="0" t="inlineStr">
        <is>
          <t/>
        </is>
      </c>
    </row>
    <row r="14">
      <c r="A14" s="0" t="inlineStr">
        <is>
          <t>MC9</t>
        </is>
      </c>
      <c r="B14" s="0" t="inlineStr">
        <is>
          <t>Piloto concluído</t>
        </is>
      </c>
      <c r="C14" s="0">
        <v>102</v>
      </c>
      <c r="D14" s="0" t="inlineStr">
        <is>
          <t>Não iniciado</t>
        </is>
      </c>
      <c r="E14" s="0" t="inlineStr">
        <is>
          <t>Seis semanas de uso dados íntegros e entrevistas agendadas</t>
        </is>
      </c>
      <c r="F14" s="0" t="inlineStr">
        <is>
          <t>19/02/2027</t>
        </is>
      </c>
      <c r="G14" s="0" t="inlineStr">
        <is>
          <t/>
        </is>
      </c>
    </row>
    <row r="15">
      <c r="A15" s="0" t="inlineStr">
        <is>
          <t>MC10</t>
        </is>
      </c>
      <c r="B15" s="0" t="inlineStr">
        <is>
          <t>Decisão do MVP comercial</t>
        </is>
      </c>
      <c r="C15" s="0">
        <v>103</v>
      </c>
      <c r="D15" s="0" t="inlineStr">
        <is>
          <t>Não iniciado</t>
        </is>
      </c>
      <c r="E15" s="0" t="inlineStr">
        <is>
          <t>Relatório do piloto e recomendação aprovados</t>
        </is>
      </c>
      <c r="F15" s="0" t="inlineStr">
        <is>
          <t>05/03/2027</t>
        </is>
      </c>
      <c r="G15" s="0" t="inlineStr">
        <is>
          <t/>
        </is>
      </c>
    </row>
  </sheetData>
  <autoFilter ref="A1:G15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Revisão por especialista e avisos claros de caráter educativo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 expiração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Migrar para PostgreSQL antes da publicação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v1 concluído — resolver DEC-01 a DEC-11 implementar consentimentos e direitos aprovar RIPD LIAs operadores e revisão jurídica</t>
        </is>
      </c>
      <c r="G8" s="0" t="inlineStr">
        <is>
          <t>Privacidade/Jurídico</t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  <row r="12">
      <c r="A12" s="0" t="inlineStr">
        <is>
          <t>R11</t>
        </is>
      </c>
      <c r="B12" s="0" t="inlineStr">
        <is>
          <t>Autorização quebrada expõe dados entre casais</t>
        </is>
      </c>
      <c r="C12" s="0" t="inlineStr">
        <is>
          <t>Segurança</t>
        </is>
      </c>
      <c r="D12" s="0" t="inlineStr">
        <is>
          <t>Alta</t>
        </is>
      </c>
      <c r="E12" s="0" t="inlineStr">
        <is>
          <t>Crítico</t>
        </is>
      </c>
      <c r="F12" s="0" t="inlineStr">
        <is>
          <t>Autorização por sujeito ação e recurso DTOs mínimos e testes negativos ST-01 a ST-05</t>
        </is>
      </c>
      <c r="G12" s="0" t="inlineStr">
        <is>
          <t>Liderança Técnica</t>
        </is>
      </c>
      <c r="H12" s="0" t="inlineStr">
        <is>
          <t>Aberto</t>
        </is>
      </c>
    </row>
    <row r="13">
      <c r="A13" s="0" t="inlineStr">
        <is>
          <t>R12</t>
        </is>
      </c>
      <c r="B13" s="0" t="inlineStr">
        <is>
          <t>Convite curto permite sequestro da segunda vaga</t>
        </is>
      </c>
      <c r="C13" s="0" t="inlineStr">
        <is>
          <t>Segurança</t>
        </is>
      </c>
      <c r="D13" s="0" t="inlineStr">
        <is>
          <t>Alta</t>
        </is>
      </c>
      <c r="E13" s="0" t="inlineStr">
        <is>
          <t>Crítico</t>
        </is>
      </c>
      <c r="F13" s="0" t="inlineStr">
        <is>
          <t>Pelo menos 128 bits hash expiração uso único rate limit e testes ST-06 a ST-08</t>
        </is>
      </c>
      <c r="G13" s="0" t="inlineStr">
        <is>
          <t>Liderança Técnica</t>
        </is>
      </c>
      <c r="H13" s="0" t="inlineStr">
        <is>
          <t>Aberto</t>
        </is>
      </c>
    </row>
    <row r="14">
      <c r="A14" s="0" t="inlineStr">
        <is>
          <t>R13</t>
        </is>
      </c>
      <c r="B14" s="0" t="inlineStr">
        <is>
          <t>Eventos do cliente adulteram métricas do piloto</t>
        </is>
      </c>
      <c r="C14" s="0" t="inlineStr">
        <is>
          <t>Dados</t>
        </is>
      </c>
      <c r="D14" s="0" t="inlineStr">
        <is>
          <t>Alta</t>
        </is>
      </c>
      <c r="E14" s="0" t="inlineStr">
        <is>
          <t>Alto</t>
        </is>
      </c>
      <c r="F14" s="0" t="inlineStr">
        <is>
          <t>Derivar métricas críticas no servidor rejeitar eventos financeiros e testar replay</t>
        </is>
      </c>
      <c r="G14" s="0" t="inlineStr">
        <is>
          <t>Engenharia Backend</t>
        </is>
      </c>
      <c r="H14" s="0" t="inlineStr">
        <is>
          <t>Aberto</t>
        </is>
      </c>
    </row>
    <row r="15">
      <c r="A15" s="0" t="inlineStr">
        <is>
          <t>R14</t>
        </is>
      </c>
      <c r="B15" s="0" t="inlineStr">
        <is>
          <t>Cache ou notificação expõe conteúdo íntimo</t>
        </is>
      </c>
      <c r="C15" s="0" t="inlineStr">
        <is>
          <t>Privacidade</t>
        </is>
      </c>
      <c r="D15" s="0" t="inlineStr">
        <is>
          <t>Média</t>
        </is>
      </c>
      <c r="E15" s="0" t="inlineStr">
        <is>
          <t>Crítico</t>
        </is>
      </c>
      <c r="F15" s="0" t="inlineStr">
        <is>
          <t>No-store service worker sem S3 ou S4 notificações discretas e teste em aparelho compartilhado</t>
        </is>
      </c>
      <c r="G15" s="0" t="inlineStr">
        <is>
          <t>Privacidade/Jurídico</t>
        </is>
      </c>
      <c r="H15" s="0" t="inlineStr">
        <is>
          <t>Aberto</t>
        </is>
      </c>
    </row>
    <row r="16">
      <c r="A16" s="0" t="inlineStr">
        <is>
          <t>MR01</t>
        </is>
      </c>
      <c r="B16" s="0" t="inlineStr">
        <is>
          <t>Escopo do MPV crescer antes da validação</t>
        </is>
      </c>
      <c r="C16" s="0" t="inlineStr">
        <is>
          <t>MPV</t>
        </is>
      </c>
      <c r="D16" s="0" t="inlineStr">
        <is>
          <t>Alta</t>
        </is>
      </c>
      <c r="E16" s="0" t="inlineStr">
        <is>
          <t>Alto</t>
        </is>
      </c>
      <c r="F16" s="0" t="inlineStr">
        <is>
          <t>Bloquear novas áreas no teste e exigir a retirada de um item para qualquer inclusão</t>
        </is>
      </c>
      <c r="G16" s="0" t="inlineStr">
        <is>
          <t>Product Owner — Tatyele Lopes</t>
        </is>
      </c>
      <c r="H16" s="0" t="inlineStr">
        <is>
          <t>Aberto</t>
        </is>
      </c>
    </row>
    <row r="17">
      <c r="A17" s="0" t="inlineStr">
        <is>
          <t>MR02</t>
        </is>
      </c>
      <c r="B17" s="0" t="inlineStr">
        <is>
          <t>Regras dos jogos não serem entendidas sem ajuda</t>
        </is>
      </c>
      <c r="C17" s="0" t="inlineStr">
        <is>
          <t>MPV</t>
        </is>
      </c>
      <c r="D17" s="0" t="inlineStr">
        <is>
          <t>Média</t>
        </is>
      </c>
      <c r="E17" s="0" t="inlineStr">
        <is>
          <t>Alto</t>
        </is>
      </c>
      <c r="F17" s="0" t="inlineStr">
        <is>
          <t>Instrução em uma tela exemplo curto e critério de conclusão sem mediação</t>
        </is>
      </c>
      <c r="G17" s="0" t="inlineStr">
        <is>
          <t>Product Designer</t>
        </is>
      </c>
      <c r="H17" s="0" t="inlineStr">
        <is>
          <t>Aberto</t>
        </is>
      </c>
    </row>
    <row r="18">
      <c r="A18" s="0" t="inlineStr">
        <is>
          <t>MR03</t>
        </is>
      </c>
      <c r="B18" s="0" t="inlineStr">
        <is>
          <t>Perguntas do teste causarem desconforto</t>
        </is>
      </c>
      <c r="C18" s="0" t="inlineStr">
        <is>
          <t>MPV</t>
        </is>
      </c>
      <c r="D18" s="0" t="inlineStr">
        <is>
          <t>Baixa</t>
        </is>
      </c>
      <c r="E18" s="0" t="inlineStr">
        <is>
          <t>Alto</t>
        </is>
      </c>
      <c r="F18" s="0" t="inlineStr">
        <is>
          <t>Usar apenas cartas leves permitir pular e não armazenar respostas</t>
        </is>
      </c>
      <c r="G18" s="0" t="inlineStr">
        <is>
          <t>Conteúdo</t>
        </is>
      </c>
      <c r="H18" s="0" t="inlineStr">
        <is>
          <t>Aberto</t>
        </is>
      </c>
    </row>
    <row r="19">
      <c r="A19" s="0" t="inlineStr">
        <is>
          <t>MR04</t>
        </is>
      </c>
      <c r="B19" s="0" t="inlineStr">
        <is>
          <t>Conteúdo influenciar mais que o formato</t>
        </is>
      </c>
      <c r="C19" s="0" t="inlineStr">
        <is>
          <t>MPV</t>
        </is>
      </c>
      <c r="D19" s="0" t="inlineStr">
        <is>
          <t>Média</t>
        </is>
      </c>
      <c r="E19" s="0" t="inlineStr">
        <is>
          <t>Médio</t>
        </is>
      </c>
      <c r="F19" s="0" t="inlineStr">
        <is>
          <t>Equilibrar duração tema e quantidade de cartas entre os dois jogos</t>
        </is>
      </c>
      <c r="G19" s="0" t="inlineStr">
        <is>
          <t>Product Owner — Tatyele Lopes</t>
        </is>
      </c>
      <c r="H19" s="0" t="inlineStr">
        <is>
          <t>Aberto</t>
        </is>
      </c>
    </row>
    <row r="20">
      <c r="A20" s="0" t="inlineStr">
        <is>
          <t>MR05</t>
        </is>
      </c>
      <c r="B20" s="0" t="inlineStr">
        <is>
          <t>Falha no celular impedir a sessão de teste</t>
        </is>
      </c>
      <c r="C20" s="0" t="inlineStr">
        <is>
          <t>MPV</t>
        </is>
      </c>
      <c r="D20" s="0" t="inlineStr">
        <is>
          <t>Média</t>
        </is>
      </c>
      <c r="E20" s="0" t="inlineStr">
        <is>
          <t>Alto</t>
        </is>
      </c>
      <c r="F20" s="0" t="inlineStr">
        <is>
          <t>Validar o caminho crítico nos navegadores alvo e manter reinício simples</t>
        </is>
      </c>
      <c r="G20" s="0" t="inlineStr">
        <is>
          <t>Engenharia Frontend</t>
        </is>
      </c>
      <c r="H20" s="0" t="inlineStr">
        <is>
          <t>Aberto</t>
        </is>
      </c>
    </row>
  </sheetData>
  <autoFilter ref="A1:H20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