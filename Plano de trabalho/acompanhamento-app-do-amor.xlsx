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ão Geral" sheetId="1" r:id="rId1"/>
    <sheet name="Plano Mestre" sheetId="2" r:id="rId2"/>
    <sheet name="Marcos" sheetId="3" r:id="rId3"/>
    <sheet name="Riscos" sheetId="4" r:id="rId4"/>
    <sheet name="Governança Backlog" sheetId="5" r:id="rId5"/>
  </sheets>
  <calcPr calcId="191029" fullCalcOnLoad="1"/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0"/>
      <name val="Aptos"/>
    </font>
    <font>
      <b/>
      <color rgb="FFD4A94E"/>
      <sz val="16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3D1F3D"/>
      </patternFill>
    </fill>
    <fill>
      <patternFill patternType="solid">
        <fgColor rgb="FFF3E9D7"/>
      </patternFill>
    </fill>
  </fills>
  <borders count="2">
    <border/>
    <border>
      <bottom style="thin">
        <color rgb="FFD8C8B4"/>
      </bottom>
    </border>
  </borders>
  <cellStyleXfs count="1">
    <xf numFmtId="0" fontId="0" fillId="0" borderId="0"/>
  </cellStyleXfs>
  <cellXfs count="4">
    <xf numFmtId="0" fontId="0" fillId="0" borderId="1" xfId="0" applyAlignment="1">
      <alignment vertical="top" wrapText="1"/>
    </xf>
    <xf numFmtId="0" fontId="1" fillId="2" borderId="0" xfId="0" applyAlignment="1">
      <alignment vertical="center" wrapText="1"/>
    </xf>
    <xf numFmtId="0" fontId="2" fillId="3" borderId="0" xfId="0"/>
    <xf numFmtId="10" fontId="0" fillId="0" borderId="1" xfId="0" applyNumberFormat="1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6" customWidth="1"/>
    <col min="2" max="2" width="20" customWidth="1"/>
    <col min="3" max="3" width="34" customWidth="1"/>
  </cols>
  <sheetData>
    <row r="1">
      <c r="A1" s="1" t="inlineStr">
        <is>
          <t>PLANO DE ACOMPANHAMENTO — APP DO AMOR + MPV DE TESTE</t>
        </is>
      </c>
      <c r="B1" s="1" t="inlineStr">
        <is>
          <t/>
        </is>
      </c>
      <c r="C1" s="1" t="inlineStr">
        <is>
          <t/>
        </is>
      </c>
    </row>
    <row r="2">
      <c r="A2" s="0" t="inlineStr">
        <is>
          <t>Atualizado em</t>
        </is>
      </c>
      <c r="B2" s="0" t="inlineStr">
        <is>
          <t>16/09/2026 21:11</t>
        </is>
      </c>
      <c r="C2" s="0" t="inlineStr">
        <is>
          <t/>
        </is>
      </c>
    </row>
    <row r="3">
      <c r="A3" s="0" t="inlineStr">
        <is>
          <t>Indicador</t>
        </is>
      </c>
      <c r="B3" s="0" t="inlineStr">
        <is>
          <t>Valor</t>
        </is>
      </c>
      <c r="C3" s="0" t="inlineStr">
        <is>
          <t>Leitura</t>
        </is>
      </c>
    </row>
    <row r="4">
      <c r="A4" s="0" t="inlineStr">
        <is>
          <t>Total de tarefas</t>
        </is>
      </c>
      <c r="B4" s="2">
        <f>COUNTA('Plano Mestre'!A2:A140)</f>
        <v>0</v>
      </c>
      <c r="C4" s="0" t="inlineStr">
        <is>
          <t>escopo completo</t>
        </is>
      </c>
    </row>
    <row r="5">
      <c r="A5" s="0" t="inlineStr">
        <is>
          <t>Tarefas concluídas</t>
        </is>
      </c>
      <c r="B5" s="2">
        <f>COUNTIF('Plano Mestre'!I2:I140,"Concluído")</f>
        <v>0</v>
      </c>
      <c r="C5" s="0" t="inlineStr">
        <is>
          <t>entregas finalizadas</t>
        </is>
      </c>
    </row>
    <row r="6">
      <c r="A6" s="0" t="inlineStr">
        <is>
          <t>Em andamento</t>
        </is>
      </c>
      <c r="B6" s="2">
        <f>COUNTIF('Plano Mestre'!I2:I140,"Em andamento")</f>
        <v>0</v>
      </c>
      <c r="C6" s="0" t="inlineStr">
        <is>
          <t>trabalho ativo</t>
        </is>
      </c>
    </row>
    <row r="7">
      <c r="A7" s="0" t="inlineStr">
        <is>
          <t>Não iniciadas</t>
        </is>
      </c>
      <c r="B7" s="2">
        <f>COUNTIF('Plano Mestre'!I2:I140,"Não iniciado")</f>
        <v>0</v>
      </c>
      <c r="C7" s="0" t="inlineStr">
        <is>
          <t>fila restante</t>
        </is>
      </c>
    </row>
    <row r="8">
      <c r="A8" s="0" t="inlineStr">
        <is>
          <t>Progresso por status</t>
        </is>
      </c>
      <c r="B8" s="3">
        <f>AVERAGE('Plano Mestre'!M2:M140)</f>
        <v>0</v>
      </c>
      <c r="C8" s="0" t="inlineStr">
        <is>
          <t>não mede prontidão do produto</t>
        </is>
      </c>
    </row>
    <row r="9">
      <c r="A9" s="0" t="inlineStr">
        <is>
          <t>Horas estimadas</t>
        </is>
      </c>
      <c r="B9" s="2">
        <f>SUM('Plano Mestre'!J2:J140)</f>
        <v>0</v>
      </c>
      <c r="C9" s="0" t="inlineStr">
        <is>
          <t>esforço total</t>
        </is>
      </c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</row>
    <row r="11">
      <c r="A11" s="0" t="inlineStr">
        <is>
          <t>FASES</t>
        </is>
      </c>
      <c r="B11" s="0" t="inlineStr">
        <is>
          <t>Tarefas</t>
        </is>
      </c>
      <c r="C11" s="0" t="inlineStr">
        <is>
          <t>Concluídas</t>
        </is>
      </c>
    </row>
    <row r="12">
      <c r="A12" s="0" t="inlineStr">
        <is>
          <t>Descoberta</t>
        </is>
      </c>
      <c r="B12" s="2">
        <f>COUNTIF('Plano Mestre'!B2:B140,"Descoberta")</f>
        <v>0</v>
      </c>
      <c r="C12" s="2">
        <f>COUNTIFS('Plano Mestre'!B2:B140,"Descoberta",'Plano Mestre'!I2:I140,"Concluído")</f>
        <v>0</v>
      </c>
    </row>
    <row r="13">
      <c r="A13" s="0" t="inlineStr">
        <is>
          <t>Planejamento</t>
        </is>
      </c>
      <c r="B13" s="2">
        <f>COUNTIF('Plano Mestre'!B2:B140,"Planejamento")</f>
        <v>0</v>
      </c>
      <c r="C13" s="2">
        <f>COUNTIFS('Plano Mestre'!B2:B140,"Planejamento",'Plano Mestre'!I2:I140,"Concluído")</f>
        <v>0</v>
      </c>
    </row>
    <row r="14">
      <c r="A14" s="0" t="inlineStr">
        <is>
          <t>Marca</t>
        </is>
      </c>
      <c r="B14" s="2">
        <f>COUNTIF('Plano Mestre'!B2:B140,"Marca")</f>
        <v>0</v>
      </c>
      <c r="C14" s="2">
        <f>COUNTIFS('Plano Mestre'!B2:B140,"Marca",'Plano Mestre'!I2:I140,"Concluído")</f>
        <v>0</v>
      </c>
    </row>
    <row r="15">
      <c r="A15" s="0" t="inlineStr">
        <is>
          <t>UX/UI</t>
        </is>
      </c>
      <c r="B15" s="2">
        <f>COUNTIF('Plano Mestre'!B2:B140,"UX/UI")</f>
        <v>0</v>
      </c>
      <c r="C15" s="2">
        <f>COUNTIFS('Plano Mestre'!B2:B140,"UX/UI",'Plano Mestre'!I2:I140,"Concluído")</f>
        <v>0</v>
      </c>
    </row>
    <row r="16">
      <c r="A16" s="0" t="inlineStr">
        <is>
          <t>Arquitetura</t>
        </is>
      </c>
      <c r="B16" s="2">
        <f>COUNTIF('Plano Mestre'!B2:B140,"Arquitetura")</f>
        <v>0</v>
      </c>
      <c r="C16" s="2">
        <f>COUNTIFS('Plano Mestre'!B2:B140,"Arquitetura",'Plano Mestre'!I2:I140,"Concluído")</f>
        <v>0</v>
      </c>
    </row>
    <row r="17">
      <c r="A17" s="0" t="inlineStr">
        <is>
          <t>Infraestrutura</t>
        </is>
      </c>
      <c r="B17" s="2">
        <f>COUNTIF('Plano Mestre'!B2:B140,"Infraestrutura")</f>
        <v>0</v>
      </c>
      <c r="C17" s="2">
        <f>COUNTIFS('Plano Mestre'!B2:B140,"Infraestrutura",'Plano Mestre'!I2:I140,"Concluído")</f>
        <v>0</v>
      </c>
    </row>
    <row r="18">
      <c r="A18" s="0" t="inlineStr">
        <is>
          <t>Backend</t>
        </is>
      </c>
      <c r="B18" s="2">
        <f>COUNTIF('Plano Mestre'!B2:B140,"Backend")</f>
        <v>0</v>
      </c>
      <c r="C18" s="2">
        <f>COUNTIFS('Plano Mestre'!B2:B140,"Backend",'Plano Mestre'!I2:I140,"Concluído")</f>
        <v>0</v>
      </c>
    </row>
    <row r="19">
      <c r="A19" s="0" t="inlineStr">
        <is>
          <t>Frontend</t>
        </is>
      </c>
      <c r="B19" s="2">
        <f>COUNTIF('Plano Mestre'!B2:B140,"Frontend")</f>
        <v>0</v>
      </c>
      <c r="C19" s="2">
        <f>COUNTIFS('Plano Mestre'!B2:B140,"Frontend",'Plano Mestre'!I2:I140,"Concluído")</f>
        <v>0</v>
      </c>
    </row>
    <row r="20">
      <c r="A20" s="0" t="inlineStr">
        <is>
          <t>Conteúdo</t>
        </is>
      </c>
      <c r="B20" s="2">
        <f>COUNTIF('Plano Mestre'!B2:B140,"Conteúdo")</f>
        <v>0</v>
      </c>
      <c r="C20" s="2">
        <f>COUNTIFS('Plano Mestre'!B2:B140,"Conteúdo",'Plano Mestre'!I2:I140,"Concluído")</f>
        <v>0</v>
      </c>
    </row>
    <row r="21">
      <c r="A21" s="0" t="inlineStr">
        <is>
          <t>Qualidade</t>
        </is>
      </c>
      <c r="B21" s="2">
        <f>COUNTIF('Plano Mestre'!B2:B140,"Qualidade")</f>
        <v>0</v>
      </c>
      <c r="C21" s="2">
        <f>COUNTIFS('Plano Mestre'!B2:B140,"Qualidade",'Plano Mestre'!I2:I140,"Concluído")</f>
        <v>0</v>
      </c>
    </row>
    <row r="22">
      <c r="A22" s="0" t="inlineStr">
        <is>
          <t>Jurídico</t>
        </is>
      </c>
      <c r="B22" s="2">
        <f>COUNTIF('Plano Mestre'!B2:B140,"Jurídico")</f>
        <v>0</v>
      </c>
      <c r="C22" s="2">
        <f>COUNTIFS('Plano Mestre'!B2:B140,"Jurídico",'Plano Mestre'!I2:I140,"Concluído")</f>
        <v>0</v>
      </c>
    </row>
    <row r="23">
      <c r="A23" s="0" t="inlineStr">
        <is>
          <t>Lançamento</t>
        </is>
      </c>
      <c r="B23" s="2">
        <f>COUNTIF('Plano Mestre'!B2:B140,"Lançamento")</f>
        <v>0</v>
      </c>
      <c r="C23" s="2">
        <f>COUNTIFS('Plano Mestre'!B2:B140,"Lançamento",'Plano Mestre'!I2:I140,"Concluído")</f>
        <v>0</v>
      </c>
    </row>
    <row r="24">
      <c r="A24" s="0" t="inlineStr">
        <is>
          <t>Pós-lançamento</t>
        </is>
      </c>
      <c r="B24" s="2">
        <f>COUNTIF('Plano Mestre'!B2:B140,"Pós-lançamento")</f>
        <v>0</v>
      </c>
      <c r="C24" s="2">
        <f>COUNTIFS('Plano Mestre'!B2:B140,"Pós-lançamento",'Plano Mestre'!I2:I140,"Concluído")</f>
        <v>0</v>
      </c>
    </row>
    <row r="25">
      <c r="A25" s="0" t="inlineStr">
        <is>
          <t>MPV de teste</t>
        </is>
      </c>
      <c r="B25" s="2">
        <f>COUNTIF('Plano Mestre'!B2:B140,"MPV de teste")</f>
        <v>0</v>
      </c>
      <c r="C25" s="2">
        <f>COUNTIFS('Plano Mestre'!B2:B140,"MPV de teste",'Plano Mestre'!I2:I140,"Concluído")</f>
        <v>0</v>
      </c>
    </row>
  </sheetData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8" customWidth="1"/>
    <col min="4" max="4" width="48" customWidth="1"/>
    <col min="5" max="5" width="32" customWidth="1"/>
    <col min="6" max="6" width="13" customWidth="1"/>
    <col min="7" max="7" width="18" customWidth="1"/>
    <col min="8" max="8" width="18" customWidth="1"/>
    <col min="9" max="9" width="16" customWidth="1"/>
    <col min="10" max="10" width="14" customWidth="1"/>
    <col min="11" max="11" width="16" customWidth="1"/>
    <col min="12" max="12" width="16" customWidth="1"/>
    <col min="13" max="13" width="13" customWidth="1"/>
    <col min="14" max="14" width="36" customWidth="1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Área</t>
        </is>
      </c>
      <c r="D1" s="1" t="inlineStr">
        <is>
          <t>Tarefa</t>
        </is>
      </c>
      <c r="E1" s="1" t="inlineStr">
        <is>
          <t>Entregável</t>
        </is>
      </c>
      <c r="F1" s="1" t="inlineStr">
        <is>
          <t>Prioridade</t>
        </is>
      </c>
      <c r="G1" s="1" t="inlineStr">
        <is>
          <t>Dependência</t>
        </is>
      </c>
      <c r="H1" s="1" t="inlineStr">
        <is>
          <t>Responsável</t>
        </is>
      </c>
      <c r="I1" s="1" t="inlineStr">
        <is>
          <t>Status</t>
        </is>
      </c>
      <c r="J1" s="1" t="inlineStr">
        <is>
          <t>Estimativa (h)</t>
        </is>
      </c>
      <c r="K1" s="1" t="inlineStr">
        <is>
          <t>Início planejado</t>
        </is>
      </c>
      <c r="L1" s="1" t="inlineStr">
        <is>
          <t>Fim planejado</t>
        </is>
      </c>
      <c r="M1" s="1" t="inlineStr">
        <is>
          <t>% concluído</t>
        </is>
      </c>
      <c r="N1" s="1" t="inlineStr">
        <is>
          <t>Observações</t>
        </is>
      </c>
    </row>
    <row r="2">
      <c r="A2" s="0">
        <v>1</v>
      </c>
      <c r="B2" s="0" t="inlineStr">
        <is>
          <t>Descoberta</t>
        </is>
      </c>
      <c r="C2" s="0" t="inlineStr">
        <is>
          <t>Produto</t>
        </is>
      </c>
      <c r="D2" s="0" t="inlineStr">
        <is>
          <t>Definir visão e proposta de valor</t>
        </is>
      </c>
      <c r="E2" s="0" t="inlineStr">
        <is>
          <t>Documento de visão</t>
        </is>
      </c>
      <c r="F2" s="0" t="inlineStr">
        <is>
          <t>Crítica</t>
        </is>
      </c>
      <c r="G2" s="0" t="inlineStr">
        <is>
          <t/>
        </is>
      </c>
      <c r="H2" s="0" t="inlineStr">
        <is>
          <t>Product Owner</t>
        </is>
      </c>
      <c r="I2" s="0" t="inlineStr">
        <is>
          <t>Concluído</t>
        </is>
      </c>
      <c r="J2" s="0">
        <v>4</v>
      </c>
      <c r="K2" s="0" t="inlineStr">
        <is>
          <t/>
        </is>
      </c>
      <c r="L2" s="0" t="inlineStr">
        <is>
          <t/>
        </is>
      </c>
      <c r="M2" s="3">
        <v>1</v>
      </c>
      <c r="N2" s="0" t="inlineStr">
        <is>
          <t>Visão revisada com foco em conexão descoberta intimidade diversão e fortalecimento do relacionamento em docs/VISAO-E-PROPOSTA-DE-VALOR.md</t>
        </is>
      </c>
    </row>
    <row r="3">
      <c r="A3" s="0">
        <v>2</v>
      </c>
      <c r="B3" s="0" t="inlineStr">
        <is>
          <t>Descoberta</t>
        </is>
      </c>
      <c r="C3" s="0" t="inlineStr">
        <is>
          <t>Produto</t>
        </is>
      </c>
      <c r="D3" s="0" t="inlineStr">
        <is>
          <t>Definir público-alvo e personas</t>
        </is>
      </c>
      <c r="E3" s="0" t="inlineStr">
        <is>
          <t>Personas validadas</t>
        </is>
      </c>
      <c r="F3" s="0" t="inlineStr">
        <is>
          <t>Alta</t>
        </is>
      </c>
      <c r="G3" s="0" t="inlineStr">
        <is>
          <t>1</t>
        </is>
      </c>
      <c r="H3" s="0" t="inlineStr">
        <is>
          <t>Product Owner</t>
        </is>
      </c>
      <c r="I3" s="0" t="inlineStr">
        <is>
          <t>Em andamento</t>
        </is>
      </c>
      <c r="J3" s="0">
        <v>8</v>
      </c>
      <c r="K3" s="0" t="inlineStr">
        <is>
          <t/>
        </is>
      </c>
      <c r="L3" s="0" t="inlineStr">
        <is>
          <t/>
        </is>
      </c>
      <c r="M3" s="3">
        <v>0.5</v>
      </c>
      <c r="N3" s="0" t="inlineStr">
        <is>
          <t>Público e personas provisórias definidos em docs/PUBLICO-ALVO-E-PERSONAS.md, validação depende das entrevistas da tarefa 3</t>
        </is>
      </c>
    </row>
    <row r="4">
      <c r="A4" s="0">
        <v>3</v>
      </c>
      <c r="B4" s="0" t="inlineStr">
        <is>
          <t>Descoberta</t>
        </is>
      </c>
      <c r="C4" s="0" t="inlineStr">
        <is>
          <t>Pesquisa</t>
        </is>
      </c>
      <c r="D4" s="0" t="inlineStr">
        <is>
          <t>Entrevistar casais do público-alvo</t>
        </is>
      </c>
      <c r="E4" s="0" t="inlineStr">
        <is>
          <t>Relatório de entrevistas</t>
        </is>
      </c>
      <c r="F4" s="0" t="inlineStr">
        <is>
          <t>Alta</t>
        </is>
      </c>
      <c r="G4" s="0" t="inlineStr">
        <is>
          <t>2</t>
        </is>
      </c>
      <c r="H4" s="0" t="inlineStr">
        <is>
          <t>Pesquisa e Conteúdo</t>
        </is>
      </c>
      <c r="I4" s="0" t="inlineStr">
        <is>
          <t>Em andamento</t>
        </is>
      </c>
      <c r="J4" s="0">
        <v>20</v>
      </c>
      <c r="K4" s="0" t="inlineStr">
        <is>
          <t/>
        </is>
      </c>
      <c r="L4" s="0" t="inlineStr">
        <is>
          <t/>
        </is>
      </c>
      <c r="M4" s="3">
        <v>0.5</v>
      </c>
      <c r="N4" s="0" t="inlineStr">
        <is>
          <t>Protocolo e ficha disponíveis em Markdown e Word na pasta docs — formulário nomeado como Jogo para Casais — Pesquisa de Experiência, texto introdutório informal e imagem de fundo sem marca disponíveis — pendentes montagem final do Forms, recrutamento, campo e síntese</t>
        </is>
      </c>
    </row>
    <row r="5">
      <c r="A5" s="0">
        <v>4</v>
      </c>
      <c r="B5" s="0" t="inlineStr">
        <is>
          <t>Descoberta</t>
        </is>
      </c>
      <c r="C5" s="0" t="inlineStr">
        <is>
          <t>Pesquisa</t>
        </is>
      </c>
      <c r="D5" s="0" t="inlineStr">
        <is>
          <t>Mapear dores necessidades e hábitos</t>
        </is>
      </c>
      <c r="E5" s="0" t="inlineStr">
        <is>
          <t>Mapa de oportunidades</t>
        </is>
      </c>
      <c r="F5" s="0" t="inlineStr">
        <is>
          <t>Alta</t>
        </is>
      </c>
      <c r="G5" s="0" t="inlineStr">
        <is>
          <t>3</t>
        </is>
      </c>
      <c r="H5" s="0" t="inlineStr">
        <is>
          <t>Pesquisa e Conteúdo</t>
        </is>
      </c>
      <c r="I5" s="0" t="inlineStr">
        <is>
          <t>Em andamento</t>
        </is>
      </c>
      <c r="J5" s="0">
        <v>8</v>
      </c>
      <c r="K5" s="0" t="inlineStr">
        <is>
          <t/>
        </is>
      </c>
      <c r="L5" s="0" t="inlineStr">
        <is>
          <t/>
        </is>
      </c>
      <c r="M5" s="3">
        <v>0.5</v>
      </c>
      <c r="N5" s="0" t="inlineStr">
        <is>
          <t>Pesquisa secundária consolidada em docs/PESQUISA-CASAIS-BRASILEIROS.md - síntese das entrevistas e validação das oportunidades dependem da tarefa 3</t>
        </is>
      </c>
    </row>
    <row r="6">
      <c r="A6" s="0">
        <v>5</v>
      </c>
      <c r="B6" s="0" t="inlineStr">
        <is>
          <t>Descoberta</t>
        </is>
      </c>
      <c r="C6" s="0" t="inlineStr">
        <is>
          <t>Mercado</t>
        </is>
      </c>
      <c r="D6" s="0" t="inlineStr">
        <is>
          <t>Analisar concorrentes diretos e indiretos</t>
        </is>
      </c>
      <c r="E6" s="0" t="inlineStr">
        <is>
          <t>Análise competitiva</t>
        </is>
      </c>
      <c r="F6" s="0" t="inlineStr">
        <is>
          <t>Média</t>
        </is>
      </c>
      <c r="G6" s="0" t="inlineStr">
        <is>
          <t>1</t>
        </is>
      </c>
      <c r="H6" s="0" t="inlineStr">
        <is>
          <t>Product Owner</t>
        </is>
      </c>
      <c r="I6" s="0" t="inlineStr">
        <is>
          <t>Concluído</t>
        </is>
      </c>
      <c r="J6" s="0">
        <v>8</v>
      </c>
      <c r="K6" s="0" t="inlineStr">
        <is>
          <t/>
        </is>
      </c>
      <c r="L6" s="0" t="inlineStr">
        <is>
          <t/>
        </is>
      </c>
      <c r="M6" s="3">
        <v>1</v>
      </c>
      <c r="N6" s="0" t="inlineStr">
        <is>
          <t>Mapeamento consolidado em docs/ANALISE-CONCORRENTES.md com benchmark incluindo Lovify posicionamento e oportunidades</t>
        </is>
      </c>
    </row>
    <row r="7">
      <c r="A7" s="0">
        <v>6</v>
      </c>
      <c r="B7" s="0" t="inlineStr">
        <is>
          <t>Descoberta</t>
        </is>
      </c>
      <c r="C7" s="0" t="inlineStr">
        <is>
          <t>Negócio</t>
        </is>
      </c>
      <c r="D7" s="0" t="inlineStr">
        <is>
          <t>Definir modelo de negócio e monetização</t>
        </is>
      </c>
      <c r="E7" s="0" t="inlineStr">
        <is>
          <t>Modelo de receita</t>
        </is>
      </c>
      <c r="F7" s="0" t="inlineStr">
        <is>
          <t>Alta</t>
        </is>
      </c>
      <c r="G7" s="0" t="inlineStr">
        <is>
          <t>4,5</t>
        </is>
      </c>
      <c r="H7" s="0" t="inlineStr">
        <is>
          <t>Product Owner</t>
        </is>
      </c>
      <c r="I7" s="0" t="inlineStr">
        <is>
          <t>Concluído</t>
        </is>
      </c>
      <c r="J7" s="0">
        <v>8</v>
      </c>
      <c r="K7" s="0" t="inlineStr">
        <is>
          <t/>
        </is>
      </c>
      <c r="L7" s="0" t="inlineStr">
        <is>
          <t/>
        </is>
      </c>
      <c r="M7" s="3">
        <v>1</v>
      </c>
      <c r="N7" s="0" t="inlineStr">
        <is>
          <t>Freemium B2C e assinatura por casal definidos em docs/MODELO-DE-NEGOCIO-E-MONETIZACAO.md com preços unit economics e experimentos</t>
        </is>
      </c>
    </row>
    <row r="8">
      <c r="A8" s="0">
        <v>7</v>
      </c>
      <c r="B8" s="0" t="inlineStr">
        <is>
          <t>Descoberta</t>
        </is>
      </c>
      <c r="C8" s="0" t="inlineStr">
        <is>
          <t>Produto</t>
        </is>
      </c>
      <c r="D8" s="0" t="inlineStr">
        <is>
          <t>Definir métricas de sucesso e North Star</t>
        </is>
      </c>
      <c r="E8" s="0" t="inlineStr">
        <is>
          <t>Árvore de métricas</t>
        </is>
      </c>
      <c r="F8" s="0" t="inlineStr">
        <is>
          <t>Alta</t>
        </is>
      </c>
      <c r="G8" s="0" t="inlineStr">
        <is>
          <t>1</t>
        </is>
      </c>
      <c r="H8" s="0" t="inlineStr">
        <is>
          <t>Product Owner</t>
        </is>
      </c>
      <c r="I8" s="0" t="inlineStr">
        <is>
          <t>Concluído</t>
        </is>
      </c>
      <c r="J8" s="0">
        <v>5</v>
      </c>
      <c r="K8" s="0" t="inlineStr">
        <is>
          <t/>
        </is>
      </c>
      <c r="L8" s="0" t="inlineStr">
        <is>
          <t/>
        </is>
      </c>
      <c r="M8" s="3">
        <v>1</v>
      </c>
      <c r="N8" s="0" t="inlineStr">
        <is>
          <t>North Star árvore de métricas metas e governança documentadas em docs/METRICAS-DE-SUCESSO.md</t>
        </is>
      </c>
    </row>
    <row r="9">
      <c r="A9" s="0">
        <v>8</v>
      </c>
      <c r="B9" s="0" t="inlineStr">
        <is>
          <t>Planejamento</t>
        </is>
      </c>
      <c r="C9" s="0" t="inlineStr">
        <is>
          <t>Produto</t>
        </is>
      </c>
      <c r="D9" s="0" t="inlineStr">
        <is>
          <t>Consolidar PRD do produto</t>
        </is>
      </c>
      <c r="E9" s="0" t="inlineStr">
        <is>
          <t>PRD aprovado</t>
        </is>
      </c>
      <c r="F9" s="0" t="inlineStr">
        <is>
          <t>Crítica</t>
        </is>
      </c>
      <c r="G9" s="0" t="inlineStr">
        <is>
          <t>2,4,6,7</t>
        </is>
      </c>
      <c r="H9" s="0" t="inlineStr">
        <is>
          <t>Product Owner</t>
        </is>
      </c>
      <c r="I9" s="0" t="inlineStr">
        <is>
          <t>Em andamento</t>
        </is>
      </c>
      <c r="J9" s="0">
        <v>16</v>
      </c>
      <c r="K9" s="0" t="inlineStr">
        <is>
          <t/>
        </is>
      </c>
      <c r="L9" s="0" t="inlineStr">
        <is>
          <t/>
        </is>
      </c>
      <c r="M9" s="3">
        <v>0.5</v>
      </c>
      <c r="N9" s="0" t="inlineStr">
        <is>
          <t>PRD v0.9 consolidado em Markdown e Word, pendente validação das personas priorização final e aprovação</t>
        </is>
      </c>
    </row>
    <row r="10">
      <c r="A10" s="0">
        <v>9</v>
      </c>
      <c r="B10" s="0" t="inlineStr">
        <is>
          <t>Planejamento</t>
        </is>
      </c>
      <c r="C10" s="0" t="inlineStr">
        <is>
          <t>Produto</t>
        </is>
      </c>
      <c r="D10" s="0" t="inlineStr">
        <is>
          <t>Priorizar funcionalidades pelo método MoSCoW</t>
        </is>
      </c>
      <c r="E10" s="0" t="inlineStr">
        <is>
          <t>Escopo priorizado</t>
        </is>
      </c>
      <c r="F10" s="0" t="inlineStr">
        <is>
          <t>Crítica</t>
        </is>
      </c>
      <c r="G10" s="0" t="inlineStr">
        <is>
          <t>8</t>
        </is>
      </c>
      <c r="H10" s="0" t="inlineStr">
        <is>
          <t>Product Owner</t>
        </is>
      </c>
      <c r="I10" s="0" t="inlineStr">
        <is>
          <t>Concluído</t>
        </is>
      </c>
      <c r="J10" s="0">
        <v>6</v>
      </c>
      <c r="K10" s="0" t="inlineStr">
        <is>
          <t/>
        </is>
      </c>
      <c r="L10" s="0" t="inlineStr">
        <is>
          <t/>
        </is>
      </c>
      <c r="M10" s="3">
        <v>1</v>
      </c>
      <c r="N10" s="0" t="inlineStr">
        <is>
          <t>Priorização da Release 1.0 consolidada em docs/PRIORIZACAO-MOSCOW.md e Word com Must Should Could Won't critérios e cortes</t>
        </is>
      </c>
    </row>
    <row r="11">
      <c r="A11" s="0">
        <v>10</v>
      </c>
      <c r="B11" s="0" t="inlineStr">
        <is>
          <t>Planejamento</t>
        </is>
      </c>
      <c r="C11" s="0" t="inlineStr">
        <is>
          <t>Produto</t>
        </is>
      </c>
      <c r="D11" s="0" t="inlineStr">
        <is>
          <t>Definir escopo do MVP</t>
        </is>
      </c>
      <c r="E11" s="0" t="inlineStr">
        <is>
          <t>Backlog do MVP</t>
        </is>
      </c>
      <c r="F11" s="0" t="inlineStr">
        <is>
          <t>Crítica</t>
        </is>
      </c>
      <c r="G11" s="0" t="inlineStr">
        <is>
          <t>9</t>
        </is>
      </c>
      <c r="H11" s="0" t="inlineStr">
        <is>
          <t>Product Owner</t>
        </is>
      </c>
      <c r="I11" s="0" t="inlineStr">
        <is>
          <t>Concluído</t>
        </is>
      </c>
      <c r="J11" s="0">
        <v>6</v>
      </c>
      <c r="K11" s="0" t="inlineStr">
        <is>
          <t/>
        </is>
      </c>
      <c r="L11" s="0" t="inlineStr">
        <is>
          <t/>
        </is>
      </c>
      <c r="M11" s="3">
        <v>1</v>
      </c>
      <c r="N11" s="0" t="inlineStr">
        <is>
          <t>MVP piloto PWA de 6 semanas com 40 a 60 casais, três mecânicas e backlog de 38 itens consolidado em docs/ESCOPO-MVP.md e Word</t>
        </is>
      </c>
    </row>
    <row r="12">
      <c r="A12" s="0">
        <v>11</v>
      </c>
      <c r="B12" s="0" t="inlineStr">
        <is>
          <t>Planejamento</t>
        </is>
      </c>
      <c r="C12" s="0" t="inlineStr">
        <is>
          <t>Gestão</t>
        </is>
      </c>
      <c r="D12" s="0" t="inlineStr">
        <is>
          <t>Definir cronograma marcos e cadência</t>
        </is>
      </c>
      <c r="E12" s="0" t="inlineStr">
        <is>
          <t>Roadmap de execução</t>
        </is>
      </c>
      <c r="F12" s="0" t="inlineStr">
        <is>
          <t>Alta</t>
        </is>
      </c>
      <c r="G12" s="0" t="inlineStr">
        <is>
          <t>10</t>
        </is>
      </c>
      <c r="H12" s="0" t="inlineStr">
        <is>
          <t>Product Owner</t>
        </is>
      </c>
      <c r="I12" s="0" t="inlineStr">
        <is>
          <t>Concluído</t>
        </is>
      </c>
      <c r="J12" s="0">
        <v>6</v>
      </c>
      <c r="K12" s="0" t="inlineStr">
        <is>
          <t>07/09/2026</t>
        </is>
      </c>
      <c r="L12" s="0" t="inlineStr">
        <is>
          <t>05/03/2027</t>
        </is>
      </c>
      <c r="M12" s="3">
        <v>1</v>
      </c>
      <c r="N12" s="0" t="inlineStr">
        <is>
          <t>Linha de base em docs/CRONOGRAMA-MARCOS-E-CADENCIA.md e Word - revisão identificou datas por tarefa e capacidade nominal pendentes de replanejamento com a baseline 112 - datas dos marcos permanecem premissas</t>
        </is>
      </c>
    </row>
    <row r="13">
      <c r="A13" s="0">
        <v>12</v>
      </c>
      <c r="B13" s="0" t="inlineStr">
        <is>
          <t>Planejamento</t>
        </is>
      </c>
      <c r="C13" s="0" t="inlineStr">
        <is>
          <t>Gestão</t>
        </is>
      </c>
      <c r="D13" s="0" t="inlineStr">
        <is>
          <t>Definir responsáveis e matriz RACI</t>
        </is>
      </c>
      <c r="E13" s="0" t="inlineStr">
        <is>
          <t>Matriz RACI</t>
        </is>
      </c>
      <c r="F13" s="0" t="inlineStr">
        <is>
          <t>Média</t>
        </is>
      </c>
      <c r="G13" s="0" t="inlineStr">
        <is>
          <t>11</t>
        </is>
      </c>
      <c r="H13" s="0" t="inlineStr">
        <is>
          <t>Product Owner — Tatyele Lopes</t>
        </is>
      </c>
      <c r="I13" s="0" t="inlineStr">
        <is>
          <t>Concluído</t>
        </is>
      </c>
      <c r="J13" s="0">
        <v>4</v>
      </c>
      <c r="K13" s="0" t="inlineStr">
        <is>
          <t/>
        </is>
      </c>
      <c r="L13" s="0" t="inlineStr">
        <is>
          <t/>
        </is>
      </c>
      <c r="M13" s="3">
        <v>1</v>
      </c>
      <c r="N13" s="0" t="inlineStr">
        <is>
          <t>Estrutura de papéis e RACI documentadas - papéis padrão aplicados às tarefas atuais pelo gerador - nomes técnicos e capacidade ainda a confirmar - documento e Word têm recorte histórico das 107 tarefas iniciais</t>
        </is>
      </c>
    </row>
    <row r="14">
      <c r="A14" s="0">
        <v>13</v>
      </c>
      <c r="B14" s="0" t="inlineStr">
        <is>
          <t>Planejamento</t>
        </is>
      </c>
      <c r="C14" s="0" t="inlineStr">
        <is>
          <t>Gestão</t>
        </is>
      </c>
      <c r="D14" s="0" t="inlineStr">
        <is>
          <t>Configurar gestão de backlog e cerimônias</t>
        </is>
      </c>
      <c r="E14" s="0" t="inlineStr">
        <is>
          <t>Quadro operacional</t>
        </is>
      </c>
      <c r="F14" s="0" t="inlineStr">
        <is>
          <t>Alta</t>
        </is>
      </c>
      <c r="G14" s="0" t="inlineStr">
        <is>
          <t>11,12</t>
        </is>
      </c>
      <c r="H14" s="0" t="inlineStr">
        <is>
          <t>Product Owner — Tatyele Lopes</t>
        </is>
      </c>
      <c r="I14" s="0" t="inlineStr">
        <is>
          <t>Concluído</t>
        </is>
      </c>
      <c r="J14" s="0">
        <v>4</v>
      </c>
      <c r="K14" s="0" t="inlineStr">
        <is>
          <t/>
        </is>
      </c>
      <c r="L14" s="0" t="inlineStr">
        <is>
          <t/>
        </is>
      </c>
      <c r="M14" s="3">
        <v>1</v>
      </c>
      <c r="N14" s="0" t="inlineStr">
        <is>
          <t>Kanban com ciclos quinzenais fluxo WIP DoR DoD RICE cerimônias e métricas configurados em docs/GESTAO-DE-BACKLOG-E-CERIMONIAS.md e na aba Governança Backlog</t>
        </is>
      </c>
    </row>
    <row r="15">
      <c r="A15" s="0">
        <v>14</v>
      </c>
      <c r="B15" s="0" t="inlineStr">
        <is>
          <t>Marca</t>
        </is>
      </c>
      <c r="C15" s="0" t="inlineStr">
        <is>
          <t>Branding</t>
        </is>
      </c>
      <c r="D15" s="0" t="inlineStr">
        <is>
          <t>Validar nome Conectadois e alternativas</t>
        </is>
      </c>
      <c r="E15" s="0" t="inlineStr">
        <is>
          <t>Decisão de naming</t>
        </is>
      </c>
      <c r="F15" s="0" t="inlineStr">
        <is>
          <t>Alta</t>
        </is>
      </c>
      <c r="G15" s="0" t="inlineStr">
        <is>
          <t>1</t>
        </is>
      </c>
      <c r="H15" s="0" t="inlineStr">
        <is>
          <t>Product Designer</t>
        </is>
      </c>
      <c r="I15" s="0" t="inlineStr">
        <is>
          <t>Não iniciado</t>
        </is>
      </c>
      <c r="J15" s="0">
        <v>8</v>
      </c>
      <c r="K15" s="0" t="inlineStr">
        <is>
          <t/>
        </is>
      </c>
      <c r="L15" s="0" t="inlineStr">
        <is>
          <t/>
        </is>
      </c>
      <c r="M15" s="3">
        <v>0</v>
      </c>
      <c r="N15" s="0" t="inlineStr">
        <is>
          <t/>
        </is>
      </c>
    </row>
    <row r="16">
      <c r="A16" s="0">
        <v>15</v>
      </c>
      <c r="B16" s="0" t="inlineStr">
        <is>
          <t>Marca</t>
        </is>
      </c>
      <c r="C16" s="0" t="inlineStr">
        <is>
          <t>Jurídico</t>
        </is>
      </c>
      <c r="D16" s="0" t="inlineStr">
        <is>
          <t>Pesquisar disponibilidade no INPI</t>
        </is>
      </c>
      <c r="E16" s="0" t="inlineStr">
        <is>
          <t>Parecer preliminar</t>
        </is>
      </c>
      <c r="F16" s="0" t="inlineStr">
        <is>
          <t>Alta</t>
        </is>
      </c>
      <c r="G16" s="0" t="inlineStr">
        <is>
          <t>14</t>
        </is>
      </c>
      <c r="H16" s="0" t="inlineStr">
        <is>
          <t>Privacidade/Jurídico</t>
        </is>
      </c>
      <c r="I16" s="0" t="inlineStr">
        <is>
          <t>Não iniciado</t>
        </is>
      </c>
      <c r="J16" s="0">
        <v>4</v>
      </c>
      <c r="K16" s="0" t="inlineStr">
        <is>
          <t/>
        </is>
      </c>
      <c r="L16" s="0" t="inlineStr">
        <is>
          <t/>
        </is>
      </c>
      <c r="M16" s="3">
        <v>0</v>
      </c>
      <c r="N16" s="0" t="inlineStr">
        <is>
          <t/>
        </is>
      </c>
    </row>
    <row r="17">
      <c r="A17" s="0">
        <v>16</v>
      </c>
      <c r="B17" s="0" t="inlineStr">
        <is>
          <t>Marca</t>
        </is>
      </c>
      <c r="C17" s="0" t="inlineStr">
        <is>
          <t>Branding</t>
        </is>
      </c>
      <c r="D17" s="0" t="inlineStr">
        <is>
          <t>Registrar domínio e perfis sociais</t>
        </is>
      </c>
      <c r="E17" s="0" t="inlineStr">
        <is>
          <t>Ativos digitais reservados</t>
        </is>
      </c>
      <c r="F17" s="0" t="inlineStr">
        <is>
          <t>Alta</t>
        </is>
      </c>
      <c r="G17" s="0" t="inlineStr">
        <is>
          <t>14</t>
        </is>
      </c>
      <c r="H17" s="0" t="inlineStr">
        <is>
          <t>Product Designer</t>
        </is>
      </c>
      <c r="I17" s="0" t="inlineStr">
        <is>
          <t>Não iniciado</t>
        </is>
      </c>
      <c r="J17" s="0">
        <v>3</v>
      </c>
      <c r="K17" s="0" t="inlineStr">
        <is>
          <t/>
        </is>
      </c>
      <c r="L17" s="0" t="inlineStr">
        <is>
          <t/>
        </is>
      </c>
      <c r="M17" s="3">
        <v>0</v>
      </c>
      <c r="N17" s="0" t="inlineStr">
        <is>
          <t/>
        </is>
      </c>
    </row>
    <row r="18">
      <c r="A18" s="0">
        <v>17</v>
      </c>
      <c r="B18" s="0" t="inlineStr">
        <is>
          <t>Marca</t>
        </is>
      </c>
      <c r="C18" s="0" t="inlineStr">
        <is>
          <t>Branding</t>
        </is>
      </c>
      <c r="D18" s="0" t="inlineStr">
        <is>
          <t>Definir posicionamento tom de voz e slogan</t>
        </is>
      </c>
      <c r="E18" s="0" t="inlineStr">
        <is>
          <t>Guia verbal</t>
        </is>
      </c>
      <c r="F18" s="0" t="inlineStr">
        <is>
          <t>Média</t>
        </is>
      </c>
      <c r="G18" s="0" t="inlineStr">
        <is>
          <t>14</t>
        </is>
      </c>
      <c r="H18" s="0" t="inlineStr">
        <is>
          <t>Product Designer</t>
        </is>
      </c>
      <c r="I18" s="0" t="inlineStr">
        <is>
          <t>Concluído</t>
        </is>
      </c>
      <c r="J18" s="0">
        <v>8</v>
      </c>
      <c r="K18" s="0" t="inlineStr">
        <is>
          <t/>
        </is>
      </c>
      <c r="L18" s="0" t="inlineStr">
        <is>
          <t/>
        </is>
      </c>
      <c r="M18" s="3">
        <v>1</v>
      </c>
      <c r="N18" s="0" t="inlineStr">
        <is>
          <t>Posicionamento plataforma de mensagens tom de voz vocabulário aplicações e sistema de slogans consolidados em docs/POSICIONAMENTO-TOM-DE-VOZ-E-SLOGAN.md e Word —  validar com casais e revisar se o naming mudar</t>
        </is>
      </c>
    </row>
    <row r="19">
      <c r="A19" s="0">
        <v>18</v>
      </c>
      <c r="B19" s="0" t="inlineStr">
        <is>
          <t>Marca</t>
        </is>
      </c>
      <c r="C19" s="0" t="inlineStr">
        <is>
          <t>Design</t>
        </is>
      </c>
      <c r="D19" s="0" t="inlineStr">
        <is>
          <t>Consolidar logotipo paleta e tipografia</t>
        </is>
      </c>
      <c r="E19" s="0" t="inlineStr">
        <is>
          <t>Identidade visual</t>
        </is>
      </c>
      <c r="F19" s="0" t="inlineStr">
        <is>
          <t>Alta</t>
        </is>
      </c>
      <c r="G19" s="0" t="inlineStr">
        <is>
          <t>14,17</t>
        </is>
      </c>
      <c r="H19" s="0" t="inlineStr">
        <is>
          <t>Product Designer</t>
        </is>
      </c>
      <c r="I19" s="0" t="inlineStr">
        <is>
          <t>Concluído</t>
        </is>
      </c>
      <c r="J19" s="0">
        <v>16</v>
      </c>
      <c r="K19" s="0" t="inlineStr">
        <is>
          <t/>
        </is>
      </c>
      <c r="L19" s="0" t="inlineStr">
        <is>
          <t/>
        </is>
      </c>
      <c r="M19" s="3">
        <v>1</v>
      </c>
      <c r="N19" s="0" t="inlineStr">
        <is>
          <t>Identidade revisada conforme decisão da fundadora: símbolo 3D original da pasta Identidade visual restaurado no app e wordmark conectadois com dois em dourado —  guia Word e preview horizontal atualizados</t>
        </is>
      </c>
    </row>
    <row r="20">
      <c r="A20" s="0">
        <v>19</v>
      </c>
      <c r="B20" s="0" t="inlineStr">
        <is>
          <t>UX/UI</t>
        </is>
      </c>
      <c r="C20" s="0" t="inlineStr">
        <is>
          <t>Pesquisa</t>
        </is>
      </c>
      <c r="D20" s="0" t="inlineStr">
        <is>
          <t>Mapear jornada completa do casal</t>
        </is>
      </c>
      <c r="E20" s="0" t="inlineStr">
        <is>
          <t>Mapa de jornada e fluxograma visual</t>
        </is>
      </c>
      <c r="F20" s="0" t="inlineStr">
        <is>
          <t>Alta</t>
        </is>
      </c>
      <c r="G20" s="0" t="inlineStr">
        <is>
          <t>8</t>
        </is>
      </c>
      <c r="H20" s="0" t="inlineStr">
        <is>
          <t>Pesquisa e Conteúdo</t>
        </is>
      </c>
      <c r="I20" s="0" t="inlineStr">
        <is>
          <t>Concluído</t>
        </is>
      </c>
      <c r="J20" s="0">
        <v>12</v>
      </c>
      <c r="K20" s="0" t="inlineStr">
        <is>
          <t/>
        </is>
      </c>
      <c r="L20" s="0" t="inlineStr">
        <is>
          <t/>
        </is>
      </c>
      <c r="M20" s="3">
        <v>1</v>
      </c>
      <c r="N20" s="0" t="inlineStr">
        <is>
          <t>Jornada bilateral em 15 etapas consolidada em docs/JORNADA-COMPLETA-DO-CASAL.md e Word —  fluxograma detalhado em docs/FLUXOGRAMA-JORNADA-COMPLETA-DO-CASAL.md e imagem vetorial pronta para compartilhamento em docs/FLUXOGRAMA-JORNADA-COMPLETA-DO-CASAL.svg —  inclui decisões recuperações regras transversais e marcos mensuráveis —  hipóteses pendentes de validação nas entrevistas</t>
        </is>
      </c>
    </row>
    <row r="21">
      <c r="A21" s="0">
        <v>20</v>
      </c>
      <c r="B21" s="0" t="inlineStr">
        <is>
          <t>UX/UI</t>
        </is>
      </c>
      <c r="C21" s="0" t="inlineStr">
        <is>
          <t>Arquitetura</t>
        </is>
      </c>
      <c r="D21" s="0" t="inlineStr">
        <is>
          <t>Criar arquitetura de informação</t>
        </is>
      </c>
      <c r="E21" s="0" t="inlineStr">
        <is>
          <t>Mapa de navegação</t>
        </is>
      </c>
      <c r="F21" s="0" t="inlineStr">
        <is>
          <t>Alta</t>
        </is>
      </c>
      <c r="G21" s="0" t="inlineStr">
        <is>
          <t>19</t>
        </is>
      </c>
      <c r="H21" s="0" t="inlineStr">
        <is>
          <t>Product Designer</t>
        </is>
      </c>
      <c r="I21" s="0" t="inlineStr">
        <is>
          <t>Concluído</t>
        </is>
      </c>
      <c r="J21" s="0">
        <v>12</v>
      </c>
      <c r="K21" s="0" t="inlineStr">
        <is>
          <t/>
        </is>
      </c>
      <c r="L21" s="0" t="inlineStr">
        <is>
          <t/>
        </is>
      </c>
      <c r="M21" s="3">
        <v>1</v>
      </c>
      <c r="N21" s="0" t="inlineStr">
        <is>
          <t>Arquitetura mobile-first documentada em docs/ARQUITETURA-DE-INFORMACAO.md com mapa geral quatro áreas principais inventário de 29 telas objetos de informação regras de acesso rotas conceituais estados escopo por versão critérios de aceite e plano de validação</t>
        </is>
      </c>
    </row>
    <row r="22">
      <c r="A22" s="0">
        <v>21</v>
      </c>
      <c r="B22" s="0" t="inlineStr">
        <is>
          <t>UX/UI</t>
        </is>
      </c>
      <c r="C22" s="0" t="inlineStr">
        <is>
          <t>UX</t>
        </is>
      </c>
      <c r="D22" s="0" t="inlineStr">
        <is>
          <t>Desenhar fluxo de onboarding</t>
        </is>
      </c>
      <c r="E22" s="0" t="inlineStr">
        <is>
          <t>Fluxo validado</t>
        </is>
      </c>
      <c r="F22" s="0" t="inlineStr">
        <is>
          <t>Crítica</t>
        </is>
      </c>
      <c r="G22" s="0" t="inlineStr">
        <is>
          <t>20</t>
        </is>
      </c>
      <c r="H22" s="0" t="inlineStr">
        <is>
          <t>Product Designer</t>
        </is>
      </c>
      <c r="I22" s="0" t="inlineStr">
        <is>
          <t>Em andamento</t>
        </is>
      </c>
      <c r="J22" s="0">
        <v>6</v>
      </c>
      <c r="K22" s="0" t="inlineStr">
        <is>
          <t/>
        </is>
      </c>
      <c r="L22" s="0" t="inlineStr">
        <is>
          <t/>
        </is>
      </c>
      <c r="M22" s="3">
        <v>0.5</v>
      </c>
      <c r="N22" s="0" t="inlineStr">
        <is>
          <t>Fluxo funcional completo documentado em docs/FLUXO-DE-ONBOARDING.md e diagrama compartilhável em docs/FLUXO-DE-ONBOARDING.svg —  cobre descoberta direta convite recebido consentimento exceções acessibilidade analytics e critérios de aceite —  pendentes protótipo navegável e validação com usuários nas tarefas 29 e 30</t>
        </is>
      </c>
    </row>
    <row r="23">
      <c r="A23" s="0">
        <v>22</v>
      </c>
      <c r="B23" s="0" t="inlineStr">
        <is>
          <t>UX/UI</t>
        </is>
      </c>
      <c r="C23" s="0" t="inlineStr">
        <is>
          <t>UX</t>
        </is>
      </c>
      <c r="D23" s="0" t="inlineStr">
        <is>
          <t>Desenhar cadastro login e recuperação</t>
        </is>
      </c>
      <c r="E23" s="0" t="inlineStr">
        <is>
          <t>Fluxo validado</t>
        </is>
      </c>
      <c r="F23" s="0" t="inlineStr">
        <is>
          <t>Crítica</t>
        </is>
      </c>
      <c r="G23" s="0" t="inlineStr">
        <is>
          <t>20</t>
        </is>
      </c>
      <c r="H23" s="0" t="inlineStr">
        <is>
          <t>Product Designer</t>
        </is>
      </c>
      <c r="I23" s="0" t="inlineStr">
        <is>
          <t>Em andamento</t>
        </is>
      </c>
      <c r="J23" s="0">
        <v>8</v>
      </c>
      <c r="K23" s="0" t="inlineStr">
        <is>
          <t/>
        </is>
      </c>
      <c r="L23" s="0" t="inlineStr">
        <is>
          <t/>
        </is>
      </c>
      <c r="M23" s="3">
        <v>0.5</v>
      </c>
      <c r="N23" s="0" t="inlineStr">
        <is>
          <t>Fluxo funcional documentado em docs/FLUXO-DE-CADASTRO-LOGIN-E-RECUPERACAO.md e diagrama em docs/FLUXO-DE-CADASTRO-LOGIN-E-RECUPERACAO.svg —  cobre conta individual contexto de convite validações verificação de e-mail recuperação de senha sessões segurança acessibilidade analytics e lacunas da implementação —  pendentes protótipo e validação nas tarefas 29 e 30</t>
        </is>
      </c>
    </row>
    <row r="24">
      <c r="A24" s="0">
        <v>23</v>
      </c>
      <c r="B24" s="0" t="inlineStr">
        <is>
          <t>UX/UI</t>
        </is>
      </c>
      <c r="C24" s="0" t="inlineStr">
        <is>
          <t>UX</t>
        </is>
      </c>
      <c r="D24" s="0" t="inlineStr">
        <is>
          <t>Desenhar pareamento e convite do casal</t>
        </is>
      </c>
      <c r="E24" s="0" t="inlineStr">
        <is>
          <t>Fluxo validado</t>
        </is>
      </c>
      <c r="F24" s="0" t="inlineStr">
        <is>
          <t>Crítica</t>
        </is>
      </c>
      <c r="G24" s="0" t="inlineStr">
        <is>
          <t>20</t>
        </is>
      </c>
      <c r="H24" s="0" t="inlineStr">
        <is>
          <t>Product Designer</t>
        </is>
      </c>
      <c r="I24" s="0" t="inlineStr">
        <is>
          <t>Em andamento</t>
        </is>
      </c>
      <c r="J24" s="0">
        <v>8</v>
      </c>
      <c r="K24" s="0" t="inlineStr">
        <is>
          <t/>
        </is>
      </c>
      <c r="L24" s="0" t="inlineStr">
        <is>
          <t/>
        </is>
      </c>
      <c r="M24" s="3">
        <v>0.5</v>
      </c>
      <c r="N24" s="0" t="inlineStr">
        <is>
          <t/>
        </is>
      </c>
    </row>
    <row r="25">
      <c r="A25" s="0">
        <v>24</v>
      </c>
      <c r="B25" s="0" t="inlineStr">
        <is>
          <t>UX/UI</t>
        </is>
      </c>
      <c r="C25" s="0" t="inlineStr">
        <is>
          <t>UX</t>
        </is>
      </c>
      <c r="D25" s="0" t="inlineStr">
        <is>
          <t>Desenhar home e rotina diária</t>
        </is>
      </c>
      <c r="E25" s="0" t="inlineStr">
        <is>
          <t>Fluxo validado</t>
        </is>
      </c>
      <c r="F25" s="0" t="inlineStr">
        <is>
          <t>Alta</t>
        </is>
      </c>
      <c r="G25" s="0" t="inlineStr">
        <is>
          <t>20</t>
        </is>
      </c>
      <c r="H25" s="0" t="inlineStr">
        <is>
          <t>Product Designer</t>
        </is>
      </c>
      <c r="I25" s="0" t="inlineStr">
        <is>
          <t>Em andamento</t>
        </is>
      </c>
      <c r="J25" s="0">
        <v>8</v>
      </c>
      <c r="K25" s="0" t="inlineStr">
        <is>
          <t/>
        </is>
      </c>
      <c r="L25" s="0" t="inlineStr">
        <is>
          <t/>
        </is>
      </c>
      <c r="M25" s="3">
        <v>0.5</v>
      </c>
      <c r="N25" s="0" t="inlineStr">
        <is>
          <t>Desenho em docs/HOME-E-ROTINA-DIARIA.md e protótipo navegável em docs/prototipo-home-rotina.html - 13 estados da home e rotina com perguntas desafios e modo misto - pendentes revisão visual e validação com casais na tarefa 30</t>
        </is>
      </c>
    </row>
    <row r="26">
      <c r="A26" s="0">
        <v>25</v>
      </c>
      <c r="B26" s="0" t="inlineStr">
        <is>
          <t>UX/UI</t>
        </is>
      </c>
      <c r="C26" s="0" t="inlineStr">
        <is>
          <t>UX</t>
        </is>
      </c>
      <c r="D26" s="0" t="inlineStr">
        <is>
          <t>Desenhar perguntas e revelação mútua</t>
        </is>
      </c>
      <c r="E26" s="0" t="inlineStr">
        <is>
          <t>Fluxo validado</t>
        </is>
      </c>
      <c r="F26" s="0" t="inlineStr">
        <is>
          <t>Alta</t>
        </is>
      </c>
      <c r="G26" s="0" t="inlineStr">
        <is>
          <t>20</t>
        </is>
      </c>
      <c r="H26" s="0" t="inlineStr">
        <is>
          <t>Product Designer</t>
        </is>
      </c>
      <c r="I26" s="0" t="inlineStr">
        <is>
          <t>Em andamento</t>
        </is>
      </c>
      <c r="J26" s="0">
        <v>10</v>
      </c>
      <c r="K26" s="0" t="inlineStr">
        <is>
          <t/>
        </is>
      </c>
      <c r="L26" s="0" t="inlineStr">
        <is>
          <t/>
        </is>
      </c>
      <c r="M26" s="3">
        <v>0.5</v>
      </c>
      <c r="N26" s="0" t="inlineStr">
        <is>
          <t>Desenho em docs/PERGUNTAS-E-REVELACAO-MUTUA.md e protótipo docs/prototipo-perguntas-revelacao.html - discursiva múltipla escolha desafios espera correção pulo retomada e revelação bilateral - verificação de estados automatizada - validação visual e com casais pendentes na tarefa 30</t>
        </is>
      </c>
    </row>
    <row r="27">
      <c r="A27" s="0">
        <v>26</v>
      </c>
      <c r="B27" s="0" t="inlineStr">
        <is>
          <t>UX/UI</t>
        </is>
      </c>
      <c r="C27" s="0" t="inlineStr">
        <is>
          <t>UX</t>
        </is>
      </c>
      <c r="D27" s="0" t="inlineStr">
        <is>
          <t>Desenhar testes e resultados</t>
        </is>
      </c>
      <c r="E27" s="0" t="inlineStr">
        <is>
          <t>Fluxo validado</t>
        </is>
      </c>
      <c r="F27" s="0" t="inlineStr">
        <is>
          <t>Alta</t>
        </is>
      </c>
      <c r="G27" s="0" t="inlineStr">
        <is>
          <t>20</t>
        </is>
      </c>
      <c r="H27" s="0" t="inlineStr">
        <is>
          <t>Product Designer</t>
        </is>
      </c>
      <c r="I27" s="0" t="inlineStr">
        <is>
          <t>Em andamento</t>
        </is>
      </c>
      <c r="J27" s="0">
        <v>10</v>
      </c>
      <c r="K27" s="0" t="inlineStr">
        <is>
          <t/>
        </is>
      </c>
      <c r="L27" s="0" t="inlineStr">
        <is>
          <t/>
        </is>
      </c>
      <c r="M27" s="3">
        <v>0.5</v>
      </c>
      <c r="N27" s="0" t="inlineStr">
        <is>
          <t>Desenho em docs/TESTES-E-RESULTADOS.md e protótipo docs/prototipo-testes-resultados.html - formas de afeto e temperamentos experimentais com pausa revisão resultado parcial empate compartilhamento opcional e revogação - verificação de estados em scripts/validate-tests-prototype.mjs - revisão visual editorial especializada e validação com casais pendentes</t>
        </is>
      </c>
    </row>
    <row r="28">
      <c r="A28" s="0">
        <v>27</v>
      </c>
      <c r="B28" s="0" t="inlineStr">
        <is>
          <t>UX/UI</t>
        </is>
      </c>
      <c r="C28" s="0" t="inlineStr">
        <is>
          <t>Design</t>
        </is>
      </c>
      <c r="D28" s="0" t="inlineStr">
        <is>
          <t>Criar wireframes mobile-first</t>
        </is>
      </c>
      <c r="E28" s="0" t="inlineStr">
        <is>
          <t>Wireframes completos</t>
        </is>
      </c>
      <c r="F28" s="0" t="inlineStr">
        <is>
          <t>Alta</t>
        </is>
      </c>
      <c r="G28" s="0" t="inlineStr">
        <is>
          <t>21-26</t>
        </is>
      </c>
      <c r="H28" s="0" t="inlineStr">
        <is>
          <t>Product Designer</t>
        </is>
      </c>
      <c r="I28" s="0" t="inlineStr">
        <is>
          <t>Em andamento</t>
        </is>
      </c>
      <c r="J28" s="0">
        <v>20</v>
      </c>
      <c r="K28" s="0" t="inlineStr">
        <is>
          <t/>
        </is>
      </c>
      <c r="L28" s="0" t="inlineStr">
        <is>
          <t/>
        </is>
      </c>
      <c r="M28" s="3">
        <v>0.5</v>
      </c>
      <c r="N28" s="0" t="inlineStr">
        <is>
          <t>Home rotina diária perguntas com revelação e testes com resultados desenhados em protótipos HTML responsivos na pasta docs - demais telas e validação visual completa pendentes</t>
        </is>
      </c>
    </row>
    <row r="29">
      <c r="A29" s="0">
        <v>28</v>
      </c>
      <c r="B29" s="0" t="inlineStr">
        <is>
          <t>UX/UI</t>
        </is>
      </c>
      <c r="C29" s="0" t="inlineStr">
        <is>
          <t>Design</t>
        </is>
      </c>
      <c r="D29" s="0" t="inlineStr">
        <is>
          <t>Criar design system e tokens</t>
        </is>
      </c>
      <c r="E29" s="0" t="inlineStr">
        <is>
          <t>Biblioteca visual</t>
        </is>
      </c>
      <c r="F29" s="0" t="inlineStr">
        <is>
          <t>Alta</t>
        </is>
      </c>
      <c r="G29" s="0" t="inlineStr">
        <is>
          <t>18,27</t>
        </is>
      </c>
      <c r="H29" s="0" t="inlineStr">
        <is>
          <t>Product Designer</t>
        </is>
      </c>
      <c r="I29" s="0" t="inlineStr">
        <is>
          <t>Em andamento</t>
        </is>
      </c>
      <c r="J29" s="0">
        <v>20</v>
      </c>
      <c r="K29" s="0" t="inlineStr">
        <is>
          <t/>
        </is>
      </c>
      <c r="L29" s="0" t="inlineStr">
        <is>
          <t/>
        </is>
      </c>
      <c r="M29" s="3">
        <v>0.5</v>
      </c>
      <c r="N29" s="0" t="inlineStr">
        <is>
          <t>Tokens em src/assets/brand/brand-tokens.css e guia docs/IDENTIDADE-VISUAL.md existentes - biblioteca de componentes estados acessibilidade e validação visual pendentes</t>
        </is>
      </c>
    </row>
    <row r="30">
      <c r="A30" s="0">
        <v>29</v>
      </c>
      <c r="B30" s="0" t="inlineStr">
        <is>
          <t>UX/UI</t>
        </is>
      </c>
      <c r="C30" s="0" t="inlineStr">
        <is>
          <t>Design</t>
        </is>
      </c>
      <c r="D30" s="0" t="inlineStr">
        <is>
          <t>Produzir protótipo de alta fidelidade</t>
        </is>
      </c>
      <c r="E30" s="0" t="inlineStr">
        <is>
          <t>Protótipo navegável</t>
        </is>
      </c>
      <c r="F30" s="0" t="inlineStr">
        <is>
          <t>Alta</t>
        </is>
      </c>
      <c r="G30" s="0" t="inlineStr">
        <is>
          <t>27,28</t>
        </is>
      </c>
      <c r="H30" s="0" t="inlineStr">
        <is>
          <t>Product Designer</t>
        </is>
      </c>
      <c r="I30" s="0" t="inlineStr">
        <is>
          <t>Em andamento</t>
        </is>
      </c>
      <c r="J30" s="0">
        <v>30</v>
      </c>
      <c r="K30" s="0" t="inlineStr">
        <is>
          <t/>
        </is>
      </c>
      <c r="L30" s="0" t="inlineStr">
        <is>
          <t/>
        </is>
      </c>
      <c r="M30" s="3">
        <v>0.5</v>
      </c>
      <c r="N30" s="0" t="inlineStr">
        <is>
          <t>Protótipos locais da home perguntas e revelação mútua e testes com resultados em docs - inclui perspectivas simuladas rede pausa revisão e compartilhamento opcional de resumo - integração das demais jornadas revisão visual e testes com casais pendentes</t>
        </is>
      </c>
    </row>
    <row r="31">
      <c r="A31" s="0">
        <v>30</v>
      </c>
      <c r="B31" s="0" t="inlineStr">
        <is>
          <t>UX/UI</t>
        </is>
      </c>
      <c r="C31" s="0" t="inlineStr">
        <is>
          <t>Pesquisa</t>
        </is>
      </c>
      <c r="D31" s="0" t="inlineStr">
        <is>
          <t>Executar teste de usabilidade</t>
        </is>
      </c>
      <c r="E31" s="0" t="inlineStr">
        <is>
          <t>Relatório de usabilidade</t>
        </is>
      </c>
      <c r="F31" s="0" t="inlineStr">
        <is>
          <t>Alta</t>
        </is>
      </c>
      <c r="G31" s="0" t="inlineStr">
        <is>
          <t>29</t>
        </is>
      </c>
      <c r="H31" s="0" t="inlineStr">
        <is>
          <t>Pesquisa e Conteúdo</t>
        </is>
      </c>
      <c r="I31" s="0" t="inlineStr">
        <is>
          <t>Em andamento</t>
        </is>
      </c>
      <c r="J31" s="0">
        <v>16</v>
      </c>
      <c r="K31" s="0" t="inlineStr">
        <is>
          <t/>
        </is>
      </c>
      <c r="L31" s="0" t="inlineStr">
        <is>
          <t/>
        </is>
      </c>
      <c r="M31" s="3">
        <v>0.5</v>
      </c>
      <c r="N31" s="0" t="inlineStr">
        <is>
          <t>Rodada 0 especializada executada em 05/09/2026 com sete jornadas bilaterais e doze estados responsivos - relatório em docs/TESTE-DE-USABILIDADE-2026-09-05.md - nove achados registrados - validação moderada com casais e métricas humanas ainda pendentes</t>
        </is>
      </c>
    </row>
    <row r="32">
      <c r="A32" s="0">
        <v>31</v>
      </c>
      <c r="B32" s="0" t="inlineStr">
        <is>
          <t>UX/UI</t>
        </is>
      </c>
      <c r="C32" s="0" t="inlineStr">
        <is>
          <t>Design</t>
        </is>
      </c>
      <c r="D32" s="0" t="inlineStr">
        <is>
          <t>Aplicar melhorias do teste</t>
        </is>
      </c>
      <c r="E32" s="0" t="inlineStr">
        <is>
          <t>Protótipo aprovado</t>
        </is>
      </c>
      <c r="F32" s="0" t="inlineStr">
        <is>
          <t>Alta</t>
        </is>
      </c>
      <c r="G32" s="0" t="inlineStr">
        <is>
          <t>30</t>
        </is>
      </c>
      <c r="H32" s="0" t="inlineStr">
        <is>
          <t>Product Designer</t>
        </is>
      </c>
      <c r="I32" s="0" t="inlineStr">
        <is>
          <t>Não iniciado</t>
        </is>
      </c>
      <c r="J32" s="0">
        <v>12</v>
      </c>
      <c r="K32" s="0" t="inlineStr">
        <is>
          <t/>
        </is>
      </c>
      <c r="L32" s="0" t="inlineStr">
        <is>
          <t/>
        </is>
      </c>
      <c r="M32" s="3">
        <v>0</v>
      </c>
      <c r="N32" s="0" t="inlineStr">
        <is>
          <t>Correções dos achados UT-01 a UT-09 da rodada 0 pendentes - priorizar entrada em login feedback de falhas integridade do progresso retomada dos testes e alvos de toque antes da rodada com participantes</t>
        </is>
      </c>
    </row>
    <row r="33">
      <c r="A33" s="0">
        <v>32</v>
      </c>
      <c r="B33" s="0" t="inlineStr">
        <is>
          <t>Arquitetura</t>
        </is>
      </c>
      <c r="C33" s="0" t="inlineStr">
        <is>
          <t>Engenharia</t>
        </is>
      </c>
      <c r="D33" s="0" t="inlineStr">
        <is>
          <t>Definir arquitetura frontend e backend</t>
        </is>
      </c>
      <c r="E33" s="0" t="inlineStr">
        <is>
          <t>Documento de arquitetura</t>
        </is>
      </c>
      <c r="F33" s="0" t="inlineStr">
        <is>
          <t>Crítica</t>
        </is>
      </c>
      <c r="G33" s="0" t="inlineStr">
        <is>
          <t>10</t>
        </is>
      </c>
      <c r="H33" s="0" t="inlineStr">
        <is>
          <t>Liderança Técnica</t>
        </is>
      </c>
      <c r="I33" s="0" t="inlineStr">
        <is>
          <t>Concluído</t>
        </is>
      </c>
      <c r="J33" s="0">
        <v>8</v>
      </c>
      <c r="K33" s="0" t="inlineStr">
        <is>
          <t/>
        </is>
      </c>
      <c r="L33" s="0" t="inlineStr">
        <is>
          <t/>
        </is>
      </c>
      <c r="M33" s="3">
        <v>1</v>
      </c>
      <c r="N33" s="0" t="inlineStr">
        <is>
          <t/>
        </is>
      </c>
    </row>
    <row r="34">
      <c r="A34" s="0">
        <v>33</v>
      </c>
      <c r="B34" s="0" t="inlineStr">
        <is>
          <t>Arquitetura</t>
        </is>
      </c>
      <c r="C34" s="0" t="inlineStr">
        <is>
          <t>Engenharia</t>
        </is>
      </c>
      <c r="D34" s="0" t="inlineStr">
        <is>
          <t>Definir padrão de pastas e dependências</t>
        </is>
      </c>
      <c r="E34" s="0" t="inlineStr">
        <is>
          <t>Convenções documentadas</t>
        </is>
      </c>
      <c r="F34" s="0" t="inlineStr">
        <is>
          <t>Alta</t>
        </is>
      </c>
      <c r="G34" s="0" t="inlineStr">
        <is>
          <t>32</t>
        </is>
      </c>
      <c r="H34" s="0" t="inlineStr">
        <is>
          <t>Liderança Técnica</t>
        </is>
      </c>
      <c r="I34" s="0" t="inlineStr">
        <is>
          <t>Concluído</t>
        </is>
      </c>
      <c r="J34" s="0">
        <v>5</v>
      </c>
      <c r="K34" s="0" t="inlineStr">
        <is>
          <t/>
        </is>
      </c>
      <c r="L34" s="0" t="inlineStr">
        <is>
          <t/>
        </is>
      </c>
      <c r="M34" s="3">
        <v>1</v>
      </c>
      <c r="N34" s="0" t="inlineStr">
        <is>
          <t/>
        </is>
      </c>
    </row>
    <row r="35">
      <c r="A35" s="0">
        <v>34</v>
      </c>
      <c r="B35" s="0" t="inlineStr">
        <is>
          <t>Arquitetura</t>
        </is>
      </c>
      <c r="C35" s="0" t="inlineStr">
        <is>
          <t>Dados</t>
        </is>
      </c>
      <c r="D35" s="0" t="inlineStr">
        <is>
          <t>Modelar usuários casais sessões respostas e progresso</t>
        </is>
      </c>
      <c r="E35" s="0" t="inlineStr">
        <is>
          <t>Modelo de dados</t>
        </is>
      </c>
      <c r="F35" s="0" t="inlineStr">
        <is>
          <t>Crítica</t>
        </is>
      </c>
      <c r="G35" s="0" t="inlineStr">
        <is>
          <t>32</t>
        </is>
      </c>
      <c r="H35" s="0" t="inlineStr">
        <is>
          <t>Engenharia Backend</t>
        </is>
      </c>
      <c r="I35" s="0" t="inlineStr">
        <is>
          <t>Concluído</t>
        </is>
      </c>
      <c r="J35" s="0">
        <v>12</v>
      </c>
      <c r="K35" s="0" t="inlineStr">
        <is>
          <t/>
        </is>
      </c>
      <c r="L35" s="0" t="inlineStr">
        <is>
          <t/>
        </is>
      </c>
      <c r="M35" s="3">
        <v>1</v>
      </c>
      <c r="N35" s="0" t="inlineStr">
        <is>
          <t>Modelo lógico em docs/MODELO-DE-DADOS.md e docs/modelo-de-dados.dbml com 10 entidades e 12 relacionamentos - autenticação partidas respostas desafios e progresso - regras de integridade privacidade e migração documentadas</t>
        </is>
      </c>
    </row>
    <row r="36">
      <c r="A36" s="0">
        <v>35</v>
      </c>
      <c r="B36" s="0" t="inlineStr">
        <is>
          <t>Arquitetura</t>
        </is>
      </c>
      <c r="C36" s="0" t="inlineStr">
        <is>
          <t>API</t>
        </is>
      </c>
      <c r="D36" s="0" t="inlineStr">
        <is>
          <t>Definir contrato e versionamento da API</t>
        </is>
      </c>
      <c r="E36" s="0" t="inlineStr">
        <is>
          <t>Especificação OpenAPI</t>
        </is>
      </c>
      <c r="F36" s="0" t="inlineStr">
        <is>
          <t>Alta</t>
        </is>
      </c>
      <c r="G36" s="0" t="inlineStr">
        <is>
          <t>34,112</t>
        </is>
      </c>
      <c r="H36" s="0" t="inlineStr">
        <is>
          <t>Liderança Técnica</t>
        </is>
      </c>
      <c r="I36" s="0" t="inlineStr">
        <is>
          <t>Em andamento</t>
        </is>
      </c>
      <c r="J36" s="0">
        <v>12</v>
      </c>
      <c r="K36" s="0" t="inlineStr">
        <is>
          <t/>
        </is>
      </c>
      <c r="L36" s="0" t="inlineStr">
        <is>
          <t/>
        </is>
      </c>
      <c r="M36" s="3">
        <v>0.5</v>
      </c>
      <c r="N36" s="0" t="inlineStr">
        <is>
          <t>Contrato-base v1 em docs/openapi-v1.json com 21 caminhos 24 operações política de versões erros idempotência concorrência privacidade e migração documentados em docs/CONTRATO-E-VERSIONAMENTO-DA-API.md - validador em scripts/validate-openapi.mjs - estabilização 1.0 depende da decisão 112 threat model 36 LGPD 37 implementação e testes de conformidade</t>
        </is>
      </c>
    </row>
    <row r="37">
      <c r="A37" s="0">
        <v>36</v>
      </c>
      <c r="B37" s="0" t="inlineStr">
        <is>
          <t>Arquitetura</t>
        </is>
      </c>
      <c r="C37" s="0" t="inlineStr">
        <is>
          <t>Segurança</t>
        </is>
      </c>
      <c r="D37" s="0" t="inlineStr">
        <is>
          <t>Realizar modelagem de ameaças</t>
        </is>
      </c>
      <c r="E37" s="0" t="inlineStr">
        <is>
          <t>Threat model</t>
        </is>
      </c>
      <c r="F37" s="0" t="inlineStr">
        <is>
          <t>Crítica</t>
        </is>
      </c>
      <c r="G37" s="0" t="inlineStr">
        <is>
          <t>34,35</t>
        </is>
      </c>
      <c r="H37" s="0" t="inlineStr">
        <is>
          <t>Liderança Técnica</t>
        </is>
      </c>
      <c r="I37" s="0" t="inlineStr">
        <is>
          <t>Concluído</t>
        </is>
      </c>
      <c r="J37" s="0">
        <v>12</v>
      </c>
      <c r="K37" s="0" t="inlineStr">
        <is>
          <t/>
        </is>
      </c>
      <c r="L37" s="0" t="inlineStr">
        <is>
          <t/>
        </is>
      </c>
      <c r="M37" s="3">
        <v>1</v>
      </c>
      <c r="N37" s="0" t="inlineStr">
        <is>
          <t>Baseline STRIDE e OWASP em docs/MODELAGEM-DE-AMEACAS.md com diagrama ativos fronteiras 23 ameaças 30 controles 21 testes gates de piloto e riscos residuais - 13 ameaças críticas 9 altas e 1 média - estado atual não apto para piloto externo - revalidar após tarefas 112-114 PostgreSQL provedores e antes da release candidate</t>
        </is>
      </c>
    </row>
    <row r="38">
      <c r="A38" s="0">
        <v>37</v>
      </c>
      <c r="B38" s="0" t="inlineStr">
        <is>
          <t>Arquitetura</t>
        </is>
      </c>
      <c r="C38" s="0" t="inlineStr">
        <is>
          <t>Privacidade</t>
        </is>
      </c>
      <c r="D38" s="0" t="inlineStr">
        <is>
          <t>Mapear dados pessoais e base legal LGPD</t>
        </is>
      </c>
      <c r="E38" s="0" t="inlineStr">
        <is>
          <t>Inventário de dados</t>
        </is>
      </c>
      <c r="F38" s="0" t="inlineStr">
        <is>
          <t>Crítica</t>
        </is>
      </c>
      <c r="G38" s="0" t="inlineStr">
        <is>
          <t>34</t>
        </is>
      </c>
      <c r="H38" s="0" t="inlineStr">
        <is>
          <t>Privacidade/Jurídico</t>
        </is>
      </c>
      <c r="I38" s="0" t="inlineStr">
        <is>
          <t>Concluído</t>
        </is>
      </c>
      <c r="J38" s="0">
        <v>12</v>
      </c>
      <c r="K38" s="0" t="inlineStr">
        <is>
          <t>05/09/2026</t>
        </is>
      </c>
      <c r="L38" s="0" t="inlineStr">
        <is>
          <t>05/09/2026</t>
        </is>
      </c>
      <c r="M38" s="3">
        <v>1</v>
      </c>
      <c r="N38" s="0" t="inlineStr">
        <is>
          <t>Inventário v1 em docs/INVENTARIO-DE-DADOS-E-BASES-LEGAIS-LGPD.md - 17 grupos e 20 operações com finalidade necessidade bases dos artigos 7 e 11 acesso compartilhamento retenção direitos incidentes e gates - enquadramento sujeito a aprovação jurídica</t>
        </is>
      </c>
    </row>
    <row r="39">
      <c r="A39" s="0">
        <v>38</v>
      </c>
      <c r="B39" s="0" t="inlineStr">
        <is>
          <t>Infraestrutura</t>
        </is>
      </c>
      <c r="C39" s="0" t="inlineStr">
        <is>
          <t>DevOps</t>
        </is>
      </c>
      <c r="D39" s="0" t="inlineStr">
        <is>
          <t>Definir ambientes local homologação produção</t>
        </is>
      </c>
      <c r="E39" s="0" t="inlineStr">
        <is>
          <t>Estratégia de ambientes</t>
        </is>
      </c>
      <c r="F39" s="0" t="inlineStr">
        <is>
          <t>Alta</t>
        </is>
      </c>
      <c r="G39" s="0" t="inlineStr">
        <is>
          <t>32</t>
        </is>
      </c>
      <c r="H39" s="0" t="inlineStr">
        <is>
          <t>DevOps/Plataforma</t>
        </is>
      </c>
      <c r="I39" s="0" t="inlineStr">
        <is>
          <t>Concluído</t>
        </is>
      </c>
      <c r="J39" s="0">
        <v>6</v>
      </c>
      <c r="K39" s="0" t="inlineStr">
        <is>
          <t/>
        </is>
      </c>
      <c r="L39" s="0" t="inlineStr">
        <is>
          <t/>
        </is>
      </c>
      <c r="M39" s="3">
        <v>1</v>
      </c>
      <c r="N39" s="0" t="inlineStr">
        <is>
          <t>Estratégia em docs/AMBIENTES.md com matriz local staging production isolamento configuração atual e futura promoção recuperação e gates - modelo .env.local.example e regras Git - definição concluída em 08/09/2026 sem provisionamento ou deploy remoto</t>
        </is>
      </c>
    </row>
    <row r="40">
      <c r="A40" s="0">
        <v>39</v>
      </c>
      <c r="B40" s="0" t="inlineStr">
        <is>
          <t>Infraestrutura</t>
        </is>
      </c>
      <c r="C40" s="0" t="inlineStr">
        <is>
          <t>DevOps</t>
        </is>
      </c>
      <c r="D40" s="0" t="inlineStr">
        <is>
          <t>Configurar lint formatação e hooks</t>
        </is>
      </c>
      <c r="E40" s="0" t="inlineStr">
        <is>
          <t>Qualidade automatizada</t>
        </is>
      </c>
      <c r="F40" s="0" t="inlineStr">
        <is>
          <t>Alta</t>
        </is>
      </c>
      <c r="G40" s="0" t="inlineStr">
        <is>
          <t>33</t>
        </is>
      </c>
      <c r="H40" s="0" t="inlineStr">
        <is>
          <t>DevOps/Plataforma</t>
        </is>
      </c>
      <c r="I40" s="0" t="inlineStr">
        <is>
          <t>Concluído</t>
        </is>
      </c>
      <c r="J40" s="0">
        <v>6</v>
      </c>
      <c r="K40" s="0" t="inlineStr">
        <is>
          <t>08/09/2026</t>
        </is>
      </c>
      <c r="L40" s="0" t="inlineStr">
        <is>
          <t>08/09/2026</t>
        </is>
      </c>
      <c r="M40" s="3">
        <v>1</v>
      </c>
      <c r="N40" s="0" t="inlineStr">
        <is>
          <t>ESLint flat configurado para JavaScript TypeScript e React, Prettier e EditorConfig aplicados, hook pre-commit com Husky e lint-staged ativo e comandos de qualidade documentados no README</t>
        </is>
      </c>
    </row>
    <row r="41">
      <c r="A41" s="0">
        <v>40</v>
      </c>
      <c r="B41" s="0" t="inlineStr">
        <is>
          <t>Infraestrutura</t>
        </is>
      </c>
      <c r="C41" s="0" t="inlineStr">
        <is>
          <t>DevOps</t>
        </is>
      </c>
      <c r="D41" s="0" t="inlineStr">
        <is>
          <t>Configurar pipeline de CI</t>
        </is>
      </c>
      <c r="E41" s="0" t="inlineStr">
        <is>
          <t>Pipeline funcional</t>
        </is>
      </c>
      <c r="F41" s="0" t="inlineStr">
        <is>
          <t>Alta</t>
        </is>
      </c>
      <c r="G41" s="0" t="inlineStr">
        <is>
          <t>39</t>
        </is>
      </c>
      <c r="H41" s="0" t="inlineStr">
        <is>
          <t>DevOps/Plataforma</t>
        </is>
      </c>
      <c r="I41" s="0" t="inlineStr">
        <is>
          <t>Não iniciado</t>
        </is>
      </c>
      <c r="J41" s="0">
        <v>10</v>
      </c>
      <c r="K41" s="0" t="inlineStr">
        <is>
          <t/>
        </is>
      </c>
      <c r="L41" s="0" t="inlineStr">
        <is>
          <t/>
        </is>
      </c>
      <c r="M41" s="3">
        <v>0</v>
      </c>
      <c r="N41" s="0" t="inlineStr">
        <is>
          <t/>
        </is>
      </c>
    </row>
    <row r="42">
      <c r="A42" s="0">
        <v>41</v>
      </c>
      <c r="B42" s="0" t="inlineStr">
        <is>
          <t>Infraestrutura</t>
        </is>
      </c>
      <c r="C42" s="0" t="inlineStr">
        <is>
          <t>DevOps</t>
        </is>
      </c>
      <c r="D42" s="0" t="inlineStr">
        <is>
          <t>Provisionar banco PostgreSQL</t>
        </is>
      </c>
      <c r="E42" s="0" t="inlineStr">
        <is>
          <t>Banco por ambiente</t>
        </is>
      </c>
      <c r="F42" s="0" t="inlineStr">
        <is>
          <t>Crítica</t>
        </is>
      </c>
      <c r="G42" s="0" t="inlineStr">
        <is>
          <t>34,38</t>
        </is>
      </c>
      <c r="H42" s="0" t="inlineStr">
        <is>
          <t>DevOps/Plataforma</t>
        </is>
      </c>
      <c r="I42" s="0" t="inlineStr">
        <is>
          <t>Em andamento</t>
        </is>
      </c>
      <c r="J42" s="0">
        <v>10</v>
      </c>
      <c r="K42" s="0" t="inlineStr">
        <is>
          <t/>
        </is>
      </c>
      <c r="L42" s="0" t="inlineStr">
        <is>
          <t/>
        </is>
      </c>
      <c r="M42" s="3">
        <v>0.5</v>
      </c>
      <c r="N42" s="0" t="inlineStr">
        <is>
          <t>Adaptador DATABASE_URL e schema idempotente implementados para o feedback do MPV em 16/09/2026 com PostgreSQL gratuito temporário no Render - ainda provisionar local staging e production definitivos com identidades distintas migrações integridade concorrência e migração dos demais dados</t>
        </is>
      </c>
    </row>
    <row r="43">
      <c r="A43" s="0">
        <v>42</v>
      </c>
      <c r="B43" s="0" t="inlineStr">
        <is>
          <t>Infraestrutura</t>
        </is>
      </c>
      <c r="C43" s="0" t="inlineStr">
        <is>
          <t>DevOps</t>
        </is>
      </c>
      <c r="D43" s="0" t="inlineStr">
        <is>
          <t>Configurar gestão segura de segredos</t>
        </is>
      </c>
      <c r="E43" s="0" t="inlineStr">
        <is>
          <t>Cofre de segredos</t>
        </is>
      </c>
      <c r="F43" s="0" t="inlineStr">
        <is>
          <t>Crítica</t>
        </is>
      </c>
      <c r="G43" s="0" t="inlineStr">
        <is>
          <t>38</t>
        </is>
      </c>
      <c r="H43" s="0" t="inlineStr">
        <is>
          <t>DevOps/Plataforma</t>
        </is>
      </c>
      <c r="I43" s="0" t="inlineStr">
        <is>
          <t>Não iniciado</t>
        </is>
      </c>
      <c r="J43" s="0">
        <v>6</v>
      </c>
      <c r="K43" s="0" t="inlineStr">
        <is>
          <t/>
        </is>
      </c>
      <c r="L43" s="0" t="inlineStr">
        <is>
          <t/>
        </is>
      </c>
      <c r="M43" s="3">
        <v>0</v>
      </c>
      <c r="N43" s="0" t="inlineStr">
        <is>
          <t>Cofre identidades e chaves exclusivos por ambiente conforme docs/AMBIENTES.md - injeção em runtime privilégio mínimo inventário rotação e auditoria - modelos e gitignore não substituem esses controles</t>
        </is>
      </c>
    </row>
    <row r="44">
      <c r="A44" s="0">
        <v>43</v>
      </c>
      <c r="B44" s="0" t="inlineStr">
        <is>
          <t>Infraestrutura</t>
        </is>
      </c>
      <c r="C44" s="0" t="inlineStr">
        <is>
          <t>Observabilidade</t>
        </is>
      </c>
      <c r="D44" s="0" t="inlineStr">
        <is>
          <t>Configurar logs métricas e alertas</t>
        </is>
      </c>
      <c r="E44" s="0" t="inlineStr">
        <is>
          <t>Observabilidade básica</t>
        </is>
      </c>
      <c r="F44" s="0" t="inlineStr">
        <is>
          <t>Alta</t>
        </is>
      </c>
      <c r="G44" s="0" t="inlineStr">
        <is>
          <t>38</t>
        </is>
      </c>
      <c r="H44" s="0" t="inlineStr">
        <is>
          <t>DevOps/Plataforma</t>
        </is>
      </c>
      <c r="I44" s="0" t="inlineStr">
        <is>
          <t>Em andamento</t>
        </is>
      </c>
      <c r="J44" s="0">
        <v>12</v>
      </c>
      <c r="K44" s="0" t="inlineStr">
        <is>
          <t/>
        </is>
      </c>
      <c r="L44" s="0" t="inlineStr">
        <is>
          <t/>
        </is>
      </c>
      <c r="M44" s="3">
        <v>0.5</v>
      </c>
      <c r="N44" s="0" t="inlineStr">
        <is>
          <t>Sonda mínima GET /api/health implementada sem dados privados em 16/09/2026 - ainda separar logs métricas e alertas por ambiente e versão implementar prontidão do armazenamento e testar alertas de indisponibilidade erros banco backup e capacidade sem conteúdo íntimo ou segredos</t>
        </is>
      </c>
    </row>
    <row r="45">
      <c r="A45" s="0">
        <v>44</v>
      </c>
      <c r="B45" s="0" t="inlineStr">
        <is>
          <t>Backend</t>
        </is>
      </c>
      <c r="C45" s="0" t="inlineStr">
        <is>
          <t>Autenticação</t>
        </is>
      </c>
      <c r="D45" s="0" t="inlineStr">
        <is>
          <t>Implementar cadastro de usuário</t>
        </is>
      </c>
      <c r="E45" s="0" t="inlineStr">
        <is>
          <t>Endpoint testado</t>
        </is>
      </c>
      <c r="F45" s="0" t="inlineStr">
        <is>
          <t>Crítica</t>
        </is>
      </c>
      <c r="G45" s="0" t="inlineStr">
        <is>
          <t>34,35</t>
        </is>
      </c>
      <c r="H45" s="0" t="inlineStr">
        <is>
          <t>Engenharia Backend</t>
        </is>
      </c>
      <c r="I45" s="0" t="inlineStr">
        <is>
          <t>Em andamento</t>
        </is>
      </c>
      <c r="J45" s="0">
        <v>12</v>
      </c>
      <c r="K45" s="0" t="inlineStr">
        <is>
          <t/>
        </is>
      </c>
      <c r="L45" s="0" t="inlineStr">
        <is>
          <t/>
        </is>
      </c>
      <c r="M45" s="3">
        <v>0.5</v>
      </c>
      <c r="N45" s="0" t="inlineStr">
        <is>
          <t/>
        </is>
      </c>
    </row>
    <row r="46">
      <c r="A46" s="0">
        <v>45</v>
      </c>
      <c r="B46" s="0" t="inlineStr">
        <is>
          <t>Backend</t>
        </is>
      </c>
      <c r="C46" s="0" t="inlineStr">
        <is>
          <t>Autenticação</t>
        </is>
      </c>
      <c r="D46" s="0" t="inlineStr">
        <is>
          <t>Implementar login logout e sessões</t>
        </is>
      </c>
      <c r="E46" s="0" t="inlineStr">
        <is>
          <t>Endpoints testados</t>
        </is>
      </c>
      <c r="F46" s="0" t="inlineStr">
        <is>
          <t>Crítica</t>
        </is>
      </c>
      <c r="G46" s="0" t="inlineStr">
        <is>
          <t>44</t>
        </is>
      </c>
      <c r="H46" s="0" t="inlineStr">
        <is>
          <t>Engenharia Backend</t>
        </is>
      </c>
      <c r="I46" s="0" t="inlineStr">
        <is>
          <t>Em andamento</t>
        </is>
      </c>
      <c r="J46" s="0">
        <v>12</v>
      </c>
      <c r="K46" s="0" t="inlineStr">
        <is>
          <t/>
        </is>
      </c>
      <c r="L46" s="0" t="inlineStr">
        <is>
          <t/>
        </is>
      </c>
      <c r="M46" s="3">
        <v>0.5</v>
      </c>
      <c r="N46" s="0" t="inlineStr">
        <is>
          <t/>
        </is>
      </c>
    </row>
    <row r="47">
      <c r="A47" s="0">
        <v>46</v>
      </c>
      <c r="B47" s="0" t="inlineStr">
        <is>
          <t>Backend</t>
        </is>
      </c>
      <c r="C47" s="0" t="inlineStr">
        <is>
          <t>Autenticação</t>
        </is>
      </c>
      <c r="D47" s="0" t="inlineStr">
        <is>
          <t>Implementar recuperação e troca de senha</t>
        </is>
      </c>
      <c r="E47" s="0" t="inlineStr">
        <is>
          <t>Fluxo seguro</t>
        </is>
      </c>
      <c r="F47" s="0" t="inlineStr">
        <is>
          <t>Alta</t>
        </is>
      </c>
      <c r="G47" s="0" t="inlineStr">
        <is>
          <t>45</t>
        </is>
      </c>
      <c r="H47" s="0" t="inlineStr">
        <is>
          <t>Engenharia Backend</t>
        </is>
      </c>
      <c r="I47" s="0" t="inlineStr">
        <is>
          <t>Não iniciado</t>
        </is>
      </c>
      <c r="J47" s="0">
        <v>12</v>
      </c>
      <c r="K47" s="0" t="inlineStr">
        <is>
          <t/>
        </is>
      </c>
      <c r="L47" s="0" t="inlineStr">
        <is>
          <t/>
        </is>
      </c>
      <c r="M47" s="3">
        <v>0</v>
      </c>
      <c r="N47" s="0" t="inlineStr">
        <is>
          <t/>
        </is>
      </c>
    </row>
    <row r="48">
      <c r="A48" s="0">
        <v>47</v>
      </c>
      <c r="B48" s="0" t="inlineStr">
        <is>
          <t>Backend</t>
        </is>
      </c>
      <c r="C48" s="0" t="inlineStr">
        <is>
          <t>Autenticação</t>
        </is>
      </c>
      <c r="D48" s="0" t="inlineStr">
        <is>
          <t>Implementar verificação de e-mail</t>
        </is>
      </c>
      <c r="E48" s="0" t="inlineStr">
        <is>
          <t>Fluxo de confirmação</t>
        </is>
      </c>
      <c r="F48" s="0" t="inlineStr">
        <is>
          <t>Alta</t>
        </is>
      </c>
      <c r="G48" s="0" t="inlineStr">
        <is>
          <t>44</t>
        </is>
      </c>
      <c r="H48" s="0" t="inlineStr">
        <is>
          <t>Engenharia Backend</t>
        </is>
      </c>
      <c r="I48" s="0" t="inlineStr">
        <is>
          <t>Não iniciado</t>
        </is>
      </c>
      <c r="J48" s="0">
        <v>10</v>
      </c>
      <c r="K48" s="0" t="inlineStr">
        <is>
          <t/>
        </is>
      </c>
      <c r="L48" s="0" t="inlineStr">
        <is>
          <t/>
        </is>
      </c>
      <c r="M48" s="3">
        <v>0</v>
      </c>
      <c r="N48" s="0" t="inlineStr">
        <is>
          <t/>
        </is>
      </c>
    </row>
    <row r="49">
      <c r="A49" s="0">
        <v>48</v>
      </c>
      <c r="B49" s="0" t="inlineStr">
        <is>
          <t>Backend</t>
        </is>
      </c>
      <c r="C49" s="0" t="inlineStr">
        <is>
          <t>Casal</t>
        </is>
      </c>
      <c r="D49" s="0" t="inlineStr">
        <is>
          <t>Implementar criação de casal e código</t>
        </is>
      </c>
      <c r="E49" s="0" t="inlineStr">
        <is>
          <t>Endpoint testado</t>
        </is>
      </c>
      <c r="F49" s="0" t="inlineStr">
        <is>
          <t>Crítica</t>
        </is>
      </c>
      <c r="G49" s="0" t="inlineStr">
        <is>
          <t>44</t>
        </is>
      </c>
      <c r="H49" s="0" t="inlineStr">
        <is>
          <t>Engenharia Backend</t>
        </is>
      </c>
      <c r="I49" s="0" t="inlineStr">
        <is>
          <t>Em andamento</t>
        </is>
      </c>
      <c r="J49" s="0">
        <v>10</v>
      </c>
      <c r="K49" s="0" t="inlineStr">
        <is>
          <t/>
        </is>
      </c>
      <c r="L49" s="0" t="inlineStr">
        <is>
          <t/>
        </is>
      </c>
      <c r="M49" s="3">
        <v>0.5</v>
      </c>
      <c r="N49" s="0" t="inlineStr">
        <is>
          <t/>
        </is>
      </c>
    </row>
    <row r="50">
      <c r="A50" s="0">
        <v>49</v>
      </c>
      <c r="B50" s="0" t="inlineStr">
        <is>
          <t>Backend</t>
        </is>
      </c>
      <c r="C50" s="0" t="inlineStr">
        <is>
          <t>Casal</t>
        </is>
      </c>
      <c r="D50" s="0" t="inlineStr">
        <is>
          <t>Implementar entrada e validação de convite</t>
        </is>
      </c>
      <c r="E50" s="0" t="inlineStr">
        <is>
          <t>Endpoint testado</t>
        </is>
      </c>
      <c r="F50" s="0" t="inlineStr">
        <is>
          <t>Crítica</t>
        </is>
      </c>
      <c r="G50" s="0" t="inlineStr">
        <is>
          <t>48</t>
        </is>
      </c>
      <c r="H50" s="0" t="inlineStr">
        <is>
          <t>Engenharia Backend</t>
        </is>
      </c>
      <c r="I50" s="0" t="inlineStr">
        <is>
          <t>Em andamento</t>
        </is>
      </c>
      <c r="J50" s="0">
        <v>10</v>
      </c>
      <c r="K50" s="0" t="inlineStr">
        <is>
          <t/>
        </is>
      </c>
      <c r="L50" s="0" t="inlineStr">
        <is>
          <t/>
        </is>
      </c>
      <c r="M50" s="3">
        <v>0.5</v>
      </c>
      <c r="N50" s="0" t="inlineStr">
        <is>
          <t/>
        </is>
      </c>
    </row>
    <row r="51">
      <c r="A51" s="0">
        <v>50</v>
      </c>
      <c r="B51" s="0" t="inlineStr">
        <is>
          <t>Backend</t>
        </is>
      </c>
      <c r="C51" s="0" t="inlineStr">
        <is>
          <t>Casal</t>
        </is>
      </c>
      <c r="D51" s="0" t="inlineStr">
        <is>
          <t>Implementar desfazer vínculo com segurança</t>
        </is>
      </c>
      <c r="E51" s="0" t="inlineStr">
        <is>
          <t>Endpoint auditável</t>
        </is>
      </c>
      <c r="F51" s="0" t="inlineStr">
        <is>
          <t>Alta</t>
        </is>
      </c>
      <c r="G51" s="0" t="inlineStr">
        <is>
          <t>49</t>
        </is>
      </c>
      <c r="H51" s="0" t="inlineStr">
        <is>
          <t>Engenharia Backend</t>
        </is>
      </c>
      <c r="I51" s="0" t="inlineStr">
        <is>
          <t>Não iniciado</t>
        </is>
      </c>
      <c r="J51" s="0">
        <v>10</v>
      </c>
      <c r="K51" s="0" t="inlineStr">
        <is>
          <t/>
        </is>
      </c>
      <c r="L51" s="0" t="inlineStr">
        <is>
          <t/>
        </is>
      </c>
      <c r="M51" s="3">
        <v>0</v>
      </c>
      <c r="N51" s="0" t="inlineStr">
        <is>
          <t/>
        </is>
      </c>
    </row>
    <row r="52">
      <c r="A52" s="0">
        <v>51</v>
      </c>
      <c r="B52" s="0" t="inlineStr">
        <is>
          <t>Backend</t>
        </is>
      </c>
      <c r="C52" s="0" t="inlineStr">
        <is>
          <t>Perfil</t>
        </is>
      </c>
      <c r="D52" s="0" t="inlineStr">
        <is>
          <t>Implementar perfil e preferências</t>
        </is>
      </c>
      <c r="E52" s="0" t="inlineStr">
        <is>
          <t>Endpoints testados</t>
        </is>
      </c>
      <c r="F52" s="0" t="inlineStr">
        <is>
          <t>Média</t>
        </is>
      </c>
      <c r="G52" s="0" t="inlineStr">
        <is>
          <t>44</t>
        </is>
      </c>
      <c r="H52" s="0" t="inlineStr">
        <is>
          <t>Engenharia Backend</t>
        </is>
      </c>
      <c r="I52" s="0" t="inlineStr">
        <is>
          <t>Não iniciado</t>
        </is>
      </c>
      <c r="J52" s="0">
        <v>10</v>
      </c>
      <c r="K52" s="0" t="inlineStr">
        <is>
          <t/>
        </is>
      </c>
      <c r="L52" s="0" t="inlineStr">
        <is>
          <t/>
        </is>
      </c>
      <c r="M52" s="3">
        <v>0</v>
      </c>
      <c r="N52" s="0" t="inlineStr">
        <is>
          <t/>
        </is>
      </c>
    </row>
    <row r="53">
      <c r="A53" s="0">
        <v>52</v>
      </c>
      <c r="B53" s="0" t="inlineStr">
        <is>
          <t>Backend</t>
        </is>
      </c>
      <c r="C53" s="0" t="inlineStr">
        <is>
          <t>Conteúdo</t>
        </is>
      </c>
      <c r="D53" s="0" t="inlineStr">
        <is>
          <t>Modelar e servir perguntas e categorias</t>
        </is>
      </c>
      <c r="E53" s="0" t="inlineStr">
        <is>
          <t>API de conteúdo</t>
        </is>
      </c>
      <c r="F53" s="0" t="inlineStr">
        <is>
          <t>Alta</t>
        </is>
      </c>
      <c r="G53" s="0" t="inlineStr">
        <is>
          <t>35,41,115</t>
        </is>
      </c>
      <c r="H53" s="0" t="inlineStr">
        <is>
          <t>Engenharia Backend</t>
        </is>
      </c>
      <c r="I53" s="0" t="inlineStr">
        <is>
          <t>Não iniciado</t>
        </is>
      </c>
      <c r="J53" s="0">
        <v>12</v>
      </c>
      <c r="K53" s="0" t="inlineStr">
        <is>
          <t/>
        </is>
      </c>
      <c r="L53" s="0" t="inlineStr">
        <is>
          <t/>
        </is>
      </c>
      <c r="M53" s="3">
        <v>0</v>
      </c>
      <c r="N53" s="0" t="inlineStr">
        <is>
          <t>Catálogo versionado deve servir apenas conteúdo aprovado e publicado com tema nível duração e formato - permitir retirada sem nova versão do app - integrar fonte editorial 115</t>
        </is>
      </c>
    </row>
    <row r="54">
      <c r="A54" s="0">
        <v>53</v>
      </c>
      <c r="B54" s="0" t="inlineStr">
        <is>
          <t>Backend</t>
        </is>
      </c>
      <c r="C54" s="0" t="inlineStr">
        <is>
          <t>Respostas</t>
        </is>
      </c>
      <c r="D54" s="0" t="inlineStr">
        <is>
          <t>Implementar respostas privadas</t>
        </is>
      </c>
      <c r="E54" s="0" t="inlineStr">
        <is>
          <t>API testada</t>
        </is>
      </c>
      <c r="F54" s="0" t="inlineStr">
        <is>
          <t>Crítica</t>
        </is>
      </c>
      <c r="G54" s="0" t="inlineStr">
        <is>
          <t>49,52,111</t>
        </is>
      </c>
      <c r="H54" s="0" t="inlineStr">
        <is>
          <t>Engenharia Backend</t>
        </is>
      </c>
      <c r="I54" s="0" t="inlineStr">
        <is>
          <t>Em andamento</t>
        </is>
      </c>
      <c r="J54" s="0">
        <v>16</v>
      </c>
      <c r="K54" s="0" t="inlineStr">
        <is>
          <t/>
        </is>
      </c>
      <c r="L54" s="0" t="inlineStr">
        <is>
          <t/>
        </is>
      </c>
      <c r="M54" s="3">
        <v>0.5</v>
      </c>
      <c r="N54" s="0" t="inlineStr">
        <is>
          <t>Endpoint da pergunta fixa existe - generalizar para partida rodada e autoria por conta com idempotência e correção apenas antes da revelação</t>
        </is>
      </c>
    </row>
    <row r="55">
      <c r="A55" s="0">
        <v>54</v>
      </c>
      <c r="B55" s="0" t="inlineStr">
        <is>
          <t>Backend</t>
        </is>
      </c>
      <c r="C55" s="0" t="inlineStr">
        <is>
          <t>Respostas</t>
        </is>
      </c>
      <c r="D55" s="0" t="inlineStr">
        <is>
          <t>Garantir revelação somente após ambos responderem</t>
        </is>
      </c>
      <c r="E55" s="0" t="inlineStr">
        <is>
          <t>Regra testada</t>
        </is>
      </c>
      <c r="F55" s="0" t="inlineStr">
        <is>
          <t>Crítica</t>
        </is>
      </c>
      <c r="G55" s="0" t="inlineStr">
        <is>
          <t>53</t>
        </is>
      </c>
      <c r="H55" s="0" t="inlineStr">
        <is>
          <t>Engenharia Backend</t>
        </is>
      </c>
      <c r="I55" s="0" t="inlineStr">
        <is>
          <t>Em andamento</t>
        </is>
      </c>
      <c r="J55" s="0">
        <v>12</v>
      </c>
      <c r="K55" s="0" t="inlineStr">
        <is>
          <t/>
        </is>
      </c>
      <c r="L55" s="0" t="inlineStr">
        <is>
          <t/>
        </is>
      </c>
      <c r="M55" s="3">
        <v>0.5</v>
      </c>
      <c r="N55" s="0" t="inlineStr">
        <is>
          <t/>
        </is>
      </c>
    </row>
    <row r="56">
      <c r="A56" s="0">
        <v>55</v>
      </c>
      <c r="B56" s="0" t="inlineStr">
        <is>
          <t>Backend</t>
        </is>
      </c>
      <c r="C56" s="0" t="inlineStr">
        <is>
          <t>Progresso</t>
        </is>
      </c>
      <c r="D56" s="0" t="inlineStr">
        <is>
          <t>Implementar streak histórico e conquistas</t>
        </is>
      </c>
      <c r="E56" s="0" t="inlineStr">
        <is>
          <t>API de progresso</t>
        </is>
      </c>
      <c r="F56" s="0" t="inlineStr">
        <is>
          <t>Alta</t>
        </is>
      </c>
      <c r="G56" s="0" t="inlineStr">
        <is>
          <t>54,111</t>
        </is>
      </c>
      <c r="H56" s="0" t="inlineStr">
        <is>
          <t>Engenharia Backend</t>
        </is>
      </c>
      <c r="I56" s="0" t="inlineStr">
        <is>
          <t>Não iniciado</t>
        </is>
      </c>
      <c r="J56" s="0">
        <v>16</v>
      </c>
      <c r="K56" s="0" t="inlineStr">
        <is>
          <t/>
        </is>
      </c>
      <c r="L56" s="0" t="inlineStr">
        <is>
          <t/>
        </is>
      </c>
      <c r="M56" s="3">
        <v>0</v>
      </c>
      <c r="N56" s="0" t="inlineStr">
        <is>
          <t>Derivar progresso de participação mútua confirmada - substituir contador local inicializado em 3 e incrementado por cliques - releitura e pulo não contam</t>
        </is>
      </c>
    </row>
    <row r="57">
      <c r="A57" s="0">
        <v>56</v>
      </c>
      <c r="B57" s="0" t="inlineStr">
        <is>
          <t>Backend</t>
        </is>
      </c>
      <c r="C57" s="0" t="inlineStr">
        <is>
          <t>Testes</t>
        </is>
      </c>
      <c r="D57" s="0" t="inlineStr">
        <is>
          <t>Implementar linguagens do amor e resultado</t>
        </is>
      </c>
      <c r="E57" s="0" t="inlineStr">
        <is>
          <t>Serviço de avaliação</t>
        </is>
      </c>
      <c r="F57" s="0" t="inlineStr">
        <is>
          <t>Alta</t>
        </is>
      </c>
      <c r="G57" s="0" t="inlineStr">
        <is>
          <t>49</t>
        </is>
      </c>
      <c r="H57" s="0" t="inlineStr">
        <is>
          <t>Engenharia Backend</t>
        </is>
      </c>
      <c r="I57" s="0" t="inlineStr">
        <is>
          <t>Não iniciado</t>
        </is>
      </c>
      <c r="J57" s="0">
        <v>16</v>
      </c>
      <c r="K57" s="0" t="inlineStr">
        <is>
          <t/>
        </is>
      </c>
      <c r="L57" s="0" t="inlineStr">
        <is>
          <t/>
        </is>
      </c>
      <c r="M57" s="3">
        <v>0</v>
      </c>
      <c r="N57" s="0" t="inlineStr">
        <is>
          <t/>
        </is>
      </c>
    </row>
    <row r="58">
      <c r="A58" s="0">
        <v>57</v>
      </c>
      <c r="B58" s="0" t="inlineStr">
        <is>
          <t>Backend</t>
        </is>
      </c>
      <c r="C58" s="0" t="inlineStr">
        <is>
          <t>Testes</t>
        </is>
      </c>
      <c r="D58" s="0" t="inlineStr">
        <is>
          <t>Implementar temperamentos e resultado</t>
        </is>
      </c>
      <c r="E58" s="0" t="inlineStr">
        <is>
          <t>Serviço de avaliação</t>
        </is>
      </c>
      <c r="F58" s="0" t="inlineStr">
        <is>
          <t>Alta</t>
        </is>
      </c>
      <c r="G58" s="0" t="inlineStr">
        <is>
          <t>49</t>
        </is>
      </c>
      <c r="H58" s="0" t="inlineStr">
        <is>
          <t>Engenharia Backend</t>
        </is>
      </c>
      <c r="I58" s="0" t="inlineStr">
        <is>
          <t>Não iniciado</t>
        </is>
      </c>
      <c r="J58" s="0">
        <v>16</v>
      </c>
      <c r="K58" s="0" t="inlineStr">
        <is>
          <t/>
        </is>
      </c>
      <c r="L58" s="0" t="inlineStr">
        <is>
          <t/>
        </is>
      </c>
      <c r="M58" s="3">
        <v>0</v>
      </c>
      <c r="N58" s="0" t="inlineStr">
        <is>
          <t/>
        </is>
      </c>
    </row>
    <row r="59">
      <c r="A59" s="0">
        <v>58</v>
      </c>
      <c r="B59" s="0" t="inlineStr">
        <is>
          <t>Backend</t>
        </is>
      </c>
      <c r="C59" s="0" t="inlineStr">
        <is>
          <t>Notificações</t>
        </is>
      </c>
      <c r="D59" s="0" t="inlineStr">
        <is>
          <t>Implementar preferências e notificações</t>
        </is>
      </c>
      <c r="E59" s="0" t="inlineStr">
        <is>
          <t>Serviço de notificações</t>
        </is>
      </c>
      <c r="F59" s="0" t="inlineStr">
        <is>
          <t>Média</t>
        </is>
      </c>
      <c r="G59" s="0" t="inlineStr">
        <is>
          <t>49</t>
        </is>
      </c>
      <c r="H59" s="0" t="inlineStr">
        <is>
          <t>Engenharia Backend</t>
        </is>
      </c>
      <c r="I59" s="0" t="inlineStr">
        <is>
          <t>Não iniciado</t>
        </is>
      </c>
      <c r="J59" s="0">
        <v>20</v>
      </c>
      <c r="K59" s="0" t="inlineStr">
        <is>
          <t/>
        </is>
      </c>
      <c r="L59" s="0" t="inlineStr">
        <is>
          <t/>
        </is>
      </c>
      <c r="M59" s="3">
        <v>0</v>
      </c>
      <c r="N59" s="0" t="inlineStr">
        <is>
          <t/>
        </is>
      </c>
    </row>
    <row r="60">
      <c r="A60" s="0">
        <v>59</v>
      </c>
      <c r="B60" s="0" t="inlineStr">
        <is>
          <t>Backend</t>
        </is>
      </c>
      <c r="C60" s="0" t="inlineStr">
        <is>
          <t>Admin</t>
        </is>
      </c>
      <c r="D60" s="0" t="inlineStr">
        <is>
          <t>Criar gestão segura de conteúdo</t>
        </is>
      </c>
      <c r="E60" s="0" t="inlineStr">
        <is>
          <t>Painel ou API administrativa</t>
        </is>
      </c>
      <c r="F60" s="0" t="inlineStr">
        <is>
          <t>Alta</t>
        </is>
      </c>
      <c r="G60" s="0" t="inlineStr">
        <is>
          <t>52</t>
        </is>
      </c>
      <c r="H60" s="0" t="inlineStr">
        <is>
          <t>Engenharia Backend</t>
        </is>
      </c>
      <c r="I60" s="0" t="inlineStr">
        <is>
          <t>Não iniciado</t>
        </is>
      </c>
      <c r="J60" s="0">
        <v>24</v>
      </c>
      <c r="K60" s="0" t="inlineStr">
        <is>
          <t/>
        </is>
      </c>
      <c r="L60" s="0" t="inlineStr">
        <is>
          <t/>
        </is>
      </c>
      <c r="M60" s="3">
        <v>0</v>
      </c>
      <c r="N60" s="0" t="inlineStr">
        <is>
          <t>Operação mínima de revisão publicação e retirada com autorização e auditoria - CMS completo não é exigido antes do piloto se existir alternativa segura nas tarefas 52 e 115</t>
        </is>
      </c>
    </row>
    <row r="61">
      <c r="A61" s="0">
        <v>60</v>
      </c>
      <c r="B61" s="0" t="inlineStr">
        <is>
          <t>Frontend</t>
        </is>
      </c>
      <c r="C61" s="0" t="inlineStr">
        <is>
          <t>Base</t>
        </is>
      </c>
      <c r="D61" s="0" t="inlineStr">
        <is>
          <t>Implementar bootstrap tema e navegação</t>
        </is>
      </c>
      <c r="E61" s="0" t="inlineStr">
        <is>
          <t>Base da aplicação</t>
        </is>
      </c>
      <c r="F61" s="0" t="inlineStr">
        <is>
          <t>Crítica</t>
        </is>
      </c>
      <c r="G61" s="0" t="inlineStr">
        <is>
          <t>28,32</t>
        </is>
      </c>
      <c r="H61" s="0" t="inlineStr">
        <is>
          <t>Engenharia Frontend</t>
        </is>
      </c>
      <c r="I61" s="0" t="inlineStr">
        <is>
          <t>Em andamento</t>
        </is>
      </c>
      <c r="J61" s="0">
        <v>14</v>
      </c>
      <c r="K61" s="0" t="inlineStr">
        <is>
          <t/>
        </is>
      </c>
      <c r="L61" s="0" t="inlineStr">
        <is>
          <t/>
        </is>
      </c>
      <c r="M61" s="3">
        <v>0.5</v>
      </c>
      <c r="N61" s="0" t="inlineStr">
        <is>
          <t/>
        </is>
      </c>
    </row>
    <row r="62">
      <c r="A62" s="0">
        <v>61</v>
      </c>
      <c r="B62" s="0" t="inlineStr">
        <is>
          <t>Frontend</t>
        </is>
      </c>
      <c r="C62" s="0" t="inlineStr">
        <is>
          <t>Onboarding</t>
        </is>
      </c>
      <c r="D62" s="0" t="inlineStr">
        <is>
          <t>Implementar onboarding responsivo</t>
        </is>
      </c>
      <c r="E62" s="0" t="inlineStr">
        <is>
          <t>Tela funcional</t>
        </is>
      </c>
      <c r="F62" s="0" t="inlineStr">
        <is>
          <t>Crítica</t>
        </is>
      </c>
      <c r="G62" s="0" t="inlineStr">
        <is>
          <t>21,28</t>
        </is>
      </c>
      <c r="H62" s="0" t="inlineStr">
        <is>
          <t>Engenharia Frontend</t>
        </is>
      </c>
      <c r="I62" s="0" t="inlineStr">
        <is>
          <t>Em andamento</t>
        </is>
      </c>
      <c r="J62" s="0">
        <v>12</v>
      </c>
      <c r="K62" s="0" t="inlineStr">
        <is>
          <t/>
        </is>
      </c>
      <c r="L62" s="0" t="inlineStr">
        <is>
          <t/>
        </is>
      </c>
      <c r="M62" s="3">
        <v>0.5</v>
      </c>
      <c r="N62" s="0" t="inlineStr">
        <is>
          <t>Três telas implementadas - reaberto na revisão: Já tenho uma conta usa conclusão genérica e abre cadastro - faltam pular e validação do fluxo documentado</t>
        </is>
      </c>
    </row>
    <row r="63">
      <c r="A63" s="0">
        <v>62</v>
      </c>
      <c r="B63" s="0" t="inlineStr">
        <is>
          <t>Frontend</t>
        </is>
      </c>
      <c r="C63" s="0" t="inlineStr">
        <is>
          <t>Autenticação</t>
        </is>
      </c>
      <c r="D63" s="0" t="inlineStr">
        <is>
          <t>Implementar cadastro e login</t>
        </is>
      </c>
      <c r="E63" s="0" t="inlineStr">
        <is>
          <t>Telas integradas</t>
        </is>
      </c>
      <c r="F63" s="0" t="inlineStr">
        <is>
          <t>Crítica</t>
        </is>
      </c>
      <c r="G63" s="0" t="inlineStr">
        <is>
          <t>22,44,45</t>
        </is>
      </c>
      <c r="H63" s="0" t="inlineStr">
        <is>
          <t>Engenharia Frontend</t>
        </is>
      </c>
      <c r="I63" s="0" t="inlineStr">
        <is>
          <t>Em andamento</t>
        </is>
      </c>
      <c r="J63" s="0">
        <v>16</v>
      </c>
      <c r="K63" s="0" t="inlineStr">
        <is>
          <t/>
        </is>
      </c>
      <c r="L63" s="0" t="inlineStr">
        <is>
          <t/>
        </is>
      </c>
      <c r="M63" s="3">
        <v>0.5</v>
      </c>
      <c r="N63" s="0" t="inlineStr">
        <is>
          <t/>
        </is>
      </c>
    </row>
    <row r="64">
      <c r="A64" s="0">
        <v>63</v>
      </c>
      <c r="B64" s="0" t="inlineStr">
        <is>
          <t>Frontend</t>
        </is>
      </c>
      <c r="C64" s="0" t="inlineStr">
        <is>
          <t>Casal</t>
        </is>
      </c>
      <c r="D64" s="0" t="inlineStr">
        <is>
          <t>Implementar criação entrada e espera do pareamento</t>
        </is>
      </c>
      <c r="E64" s="0" t="inlineStr">
        <is>
          <t>Fluxo integrado</t>
        </is>
      </c>
      <c r="F64" s="0" t="inlineStr">
        <is>
          <t>Crítica</t>
        </is>
      </c>
      <c r="G64" s="0" t="inlineStr">
        <is>
          <t>23,48,49</t>
        </is>
      </c>
      <c r="H64" s="0" t="inlineStr">
        <is>
          <t>Engenharia Frontend</t>
        </is>
      </c>
      <c r="I64" s="0" t="inlineStr">
        <is>
          <t>Em andamento</t>
        </is>
      </c>
      <c r="J64" s="0">
        <v>18</v>
      </c>
      <c r="K64" s="0" t="inlineStr">
        <is>
          <t/>
        </is>
      </c>
      <c r="L64" s="0" t="inlineStr">
        <is>
          <t/>
        </is>
      </c>
      <c r="M64" s="3">
        <v>0.5</v>
      </c>
      <c r="N64" s="0" t="inlineStr">
        <is>
          <t>Criação entrada e espera implementadas - reaberto na revisão: erro de atualização sem mensagem e cópia pode informar sucesso sem clipboard - integração e validação completas pendentes</t>
        </is>
      </c>
    </row>
    <row r="65">
      <c r="A65" s="0">
        <v>64</v>
      </c>
      <c r="B65" s="0" t="inlineStr">
        <is>
          <t>Frontend</t>
        </is>
      </c>
      <c r="C65" s="0" t="inlineStr">
        <is>
          <t>Perfil</t>
        </is>
      </c>
      <c r="D65" s="0" t="inlineStr">
        <is>
          <t>Implementar perfil conta e preferências</t>
        </is>
      </c>
      <c r="E65" s="0" t="inlineStr">
        <is>
          <t>Tela integrada</t>
        </is>
      </c>
      <c r="F65" s="0" t="inlineStr">
        <is>
          <t>Alta</t>
        </is>
      </c>
      <c r="G65" s="0" t="inlineStr">
        <is>
          <t>51</t>
        </is>
      </c>
      <c r="H65" s="0" t="inlineStr">
        <is>
          <t>Engenharia Frontend</t>
        </is>
      </c>
      <c r="I65" s="0" t="inlineStr">
        <is>
          <t>Em andamento</t>
        </is>
      </c>
      <c r="J65" s="0">
        <v>12</v>
      </c>
      <c r="K65" s="0" t="inlineStr">
        <is>
          <t/>
        </is>
      </c>
      <c r="L65" s="0" t="inlineStr">
        <is>
          <t/>
        </is>
      </c>
      <c r="M65" s="3">
        <v>0.5</v>
      </c>
      <c r="N65" s="0" t="inlineStr">
        <is>
          <t/>
        </is>
      </c>
    </row>
    <row r="66">
      <c r="A66" s="0">
        <v>65</v>
      </c>
      <c r="B66" s="0" t="inlineStr">
        <is>
          <t>Frontend</t>
        </is>
      </c>
      <c r="C66" s="0" t="inlineStr">
        <is>
          <t>Home</t>
        </is>
      </c>
      <c r="D66" s="0" t="inlineStr">
        <is>
          <t>Implementar home personalizada</t>
        </is>
      </c>
      <c r="E66" s="0" t="inlineStr">
        <is>
          <t>Tela integrada</t>
        </is>
      </c>
      <c r="F66" s="0" t="inlineStr">
        <is>
          <t>Alta</t>
        </is>
      </c>
      <c r="G66" s="0" t="inlineStr">
        <is>
          <t>24,55,116</t>
        </is>
      </c>
      <c r="H66" s="0" t="inlineStr">
        <is>
          <t>Engenharia Frontend</t>
        </is>
      </c>
      <c r="I66" s="0" t="inlineStr">
        <is>
          <t>Em andamento</t>
        </is>
      </c>
      <c r="J66" s="0">
        <v>20</v>
      </c>
      <c r="K66" s="0" t="inlineStr">
        <is>
          <t/>
        </is>
      </c>
      <c r="L66" s="0" t="inlineStr">
        <is>
          <t/>
        </is>
      </c>
      <c r="M66" s="3">
        <v>0.5</v>
      </c>
      <c r="N66" s="0" t="inlineStr">
        <is>
          <t>Home atual parcial - integrar estados em docs/HOME-E-ROTINA-DIARIA.md com pendências reais e progresso confirmado sem valores demonstrativos</t>
        </is>
      </c>
    </row>
    <row r="67">
      <c r="A67" s="0">
        <v>66</v>
      </c>
      <c r="B67" s="0" t="inlineStr">
        <is>
          <t>Frontend</t>
        </is>
      </c>
      <c r="C67" s="0" t="inlineStr">
        <is>
          <t>Perguntas</t>
        </is>
      </c>
      <c r="D67" s="0" t="inlineStr">
        <is>
          <t>Implementar perguntas por nível</t>
        </is>
      </c>
      <c r="E67" s="0" t="inlineStr">
        <is>
          <t>Experiência integrada</t>
        </is>
      </c>
      <c r="F67" s="0" t="inlineStr">
        <is>
          <t>Alta</t>
        </is>
      </c>
      <c r="G67" s="0" t="inlineStr">
        <is>
          <t>25,52,116</t>
        </is>
      </c>
      <c r="H67" s="0" t="inlineStr">
        <is>
          <t>Engenharia Frontend</t>
        </is>
      </c>
      <c r="I67" s="0" t="inlineStr">
        <is>
          <t>Em andamento</t>
        </is>
      </c>
      <c r="J67" s="0">
        <v>16</v>
      </c>
      <c r="K67" s="0" t="inlineStr">
        <is>
          <t/>
        </is>
      </c>
      <c r="L67" s="0" t="inlineStr">
        <is>
          <t/>
        </is>
      </c>
      <c r="M67" s="3">
        <v>0.5</v>
      </c>
      <c r="N67" s="0" t="inlineStr">
        <is>
          <t>Jogo local por temas implementado em 109 - níveis leve médio profundo e catálogo remoto ainda pendentes - harmonizar formato e mecânica na tarefa 112</t>
        </is>
      </c>
    </row>
    <row r="68">
      <c r="A68" s="0">
        <v>67</v>
      </c>
      <c r="B68" s="0" t="inlineStr">
        <is>
          <t>Frontend</t>
        </is>
      </c>
      <c r="C68" s="0" t="inlineStr">
        <is>
          <t>Respostas</t>
        </is>
      </c>
      <c r="D68" s="0" t="inlineStr">
        <is>
          <t>Implementar resposta privada e espera</t>
        </is>
      </c>
      <c r="E68" s="0" t="inlineStr">
        <is>
          <t>Experiência integrada</t>
        </is>
      </c>
      <c r="F68" s="0" t="inlineStr">
        <is>
          <t>Crítica</t>
        </is>
      </c>
      <c r="G68" s="0" t="inlineStr">
        <is>
          <t>53,54</t>
        </is>
      </c>
      <c r="H68" s="0" t="inlineStr">
        <is>
          <t>Engenharia Frontend</t>
        </is>
      </c>
      <c r="I68" s="0" t="inlineStr">
        <is>
          <t>Em andamento</t>
        </is>
      </c>
      <c r="J68" s="0">
        <v>18</v>
      </c>
      <c r="K68" s="0" t="inlineStr">
        <is>
          <t/>
        </is>
      </c>
      <c r="L68" s="0" t="inlineStr">
        <is>
          <t/>
        </is>
      </c>
      <c r="M68" s="3">
        <v>0.5</v>
      </c>
      <c r="N68" s="0" t="inlineStr">
        <is>
          <t/>
        </is>
      </c>
    </row>
    <row r="69">
      <c r="A69" s="0">
        <v>68</v>
      </c>
      <c r="B69" s="0" t="inlineStr">
        <is>
          <t>Frontend</t>
        </is>
      </c>
      <c r="C69" s="0" t="inlineStr">
        <is>
          <t>Respostas</t>
        </is>
      </c>
      <c r="D69" s="0" t="inlineStr">
        <is>
          <t>Implementar tela de revelação mútua</t>
        </is>
      </c>
      <c r="E69" s="0" t="inlineStr">
        <is>
          <t>Experiência integrada</t>
        </is>
      </c>
      <c r="F69" s="0" t="inlineStr">
        <is>
          <t>Crítica</t>
        </is>
      </c>
      <c r="G69" s="0" t="inlineStr">
        <is>
          <t>54,67</t>
        </is>
      </c>
      <c r="H69" s="0" t="inlineStr">
        <is>
          <t>Engenharia Frontend</t>
        </is>
      </c>
      <c r="I69" s="0" t="inlineStr">
        <is>
          <t>Em andamento</t>
        </is>
      </c>
      <c r="J69" s="0">
        <v>12</v>
      </c>
      <c r="K69" s="0" t="inlineStr">
        <is>
          <t/>
        </is>
      </c>
      <c r="L69" s="0" t="inlineStr">
        <is>
          <t/>
        </is>
      </c>
      <c r="M69" s="3">
        <v>0.5</v>
      </c>
      <c r="N69" s="0" t="inlineStr">
        <is>
          <t/>
        </is>
      </c>
    </row>
    <row r="70">
      <c r="A70" s="0">
        <v>69</v>
      </c>
      <c r="B70" s="0" t="inlineStr">
        <is>
          <t>Frontend</t>
        </is>
      </c>
      <c r="C70" s="0" t="inlineStr">
        <is>
          <t>Testes</t>
        </is>
      </c>
      <c r="D70" s="0" t="inlineStr">
        <is>
          <t>Implementar teste de linguagens do amor</t>
        </is>
      </c>
      <c r="E70" s="0" t="inlineStr">
        <is>
          <t>Experiência integrada</t>
        </is>
      </c>
      <c r="F70" s="0" t="inlineStr">
        <is>
          <t>Alta</t>
        </is>
      </c>
      <c r="G70" s="0" t="inlineStr">
        <is>
          <t>26,56</t>
        </is>
      </c>
      <c r="H70" s="0" t="inlineStr">
        <is>
          <t>Engenharia Frontend</t>
        </is>
      </c>
      <c r="I70" s="0" t="inlineStr">
        <is>
          <t>Em andamento</t>
        </is>
      </c>
      <c r="J70" s="0">
        <v>18</v>
      </c>
      <c r="K70" s="0" t="inlineStr">
        <is>
          <t/>
        </is>
      </c>
      <c r="L70" s="0" t="inlineStr">
        <is>
          <t/>
        </is>
      </c>
      <c r="M70" s="3">
        <v>0.5</v>
      </c>
      <c r="N70" s="0" t="inlineStr">
        <is>
          <t/>
        </is>
      </c>
    </row>
    <row r="71">
      <c r="A71" s="0">
        <v>70</v>
      </c>
      <c r="B71" s="0" t="inlineStr">
        <is>
          <t>Frontend</t>
        </is>
      </c>
      <c r="C71" s="0" t="inlineStr">
        <is>
          <t>Testes</t>
        </is>
      </c>
      <c r="D71" s="0" t="inlineStr">
        <is>
          <t>Implementar teste de temperamentos</t>
        </is>
      </c>
      <c r="E71" s="0" t="inlineStr">
        <is>
          <t>Experiência integrada</t>
        </is>
      </c>
      <c r="F71" s="0" t="inlineStr">
        <is>
          <t>Alta</t>
        </is>
      </c>
      <c r="G71" s="0" t="inlineStr">
        <is>
          <t>26,57</t>
        </is>
      </c>
      <c r="H71" s="0" t="inlineStr">
        <is>
          <t>Engenharia Frontend</t>
        </is>
      </c>
      <c r="I71" s="0" t="inlineStr">
        <is>
          <t>Em andamento</t>
        </is>
      </c>
      <c r="J71" s="0">
        <v>20</v>
      </c>
      <c r="K71" s="0" t="inlineStr">
        <is>
          <t/>
        </is>
      </c>
      <c r="L71" s="0" t="inlineStr">
        <is>
          <t/>
        </is>
      </c>
      <c r="M71" s="3">
        <v>0.5</v>
      </c>
      <c r="N71" s="0" t="inlineStr">
        <is>
          <t/>
        </is>
      </c>
    </row>
    <row r="72">
      <c r="A72" s="0">
        <v>71</v>
      </c>
      <c r="B72" s="0" t="inlineStr">
        <is>
          <t>Frontend</t>
        </is>
      </c>
      <c r="C72" s="0" t="inlineStr">
        <is>
          <t>Progresso</t>
        </is>
      </c>
      <c r="D72" s="0" t="inlineStr">
        <is>
          <t>Implementar streak histórico e conquistas</t>
        </is>
      </c>
      <c r="E72" s="0" t="inlineStr">
        <is>
          <t>Experiência integrada</t>
        </is>
      </c>
      <c r="F72" s="0" t="inlineStr">
        <is>
          <t>Média</t>
        </is>
      </c>
      <c r="G72" s="0" t="inlineStr">
        <is>
          <t>55,65</t>
        </is>
      </c>
      <c r="H72" s="0" t="inlineStr">
        <is>
          <t>Engenharia Frontend</t>
        </is>
      </c>
      <c r="I72" s="0" t="inlineStr">
        <is>
          <t>Não iniciado</t>
        </is>
      </c>
      <c r="J72" s="0">
        <v>18</v>
      </c>
      <c r="K72" s="0" t="inlineStr">
        <is>
          <t/>
        </is>
      </c>
      <c r="L72" s="0" t="inlineStr">
        <is>
          <t/>
        </is>
      </c>
      <c r="M72" s="3">
        <v>0</v>
      </c>
      <c r="N72" s="0" t="inlineStr">
        <is>
          <t/>
        </is>
      </c>
    </row>
    <row r="73">
      <c r="A73" s="0">
        <v>72</v>
      </c>
      <c r="B73" s="0" t="inlineStr">
        <is>
          <t>Frontend</t>
        </is>
      </c>
      <c r="C73" s="0" t="inlineStr">
        <is>
          <t>Notificações</t>
        </is>
      </c>
      <c r="D73" s="0" t="inlineStr">
        <is>
          <t>Implementar central e preferências</t>
        </is>
      </c>
      <c r="E73" s="0" t="inlineStr">
        <is>
          <t>Experiência integrada</t>
        </is>
      </c>
      <c r="F73" s="0" t="inlineStr">
        <is>
          <t>Média</t>
        </is>
      </c>
      <c r="G73" s="0" t="inlineStr">
        <is>
          <t>58</t>
        </is>
      </c>
      <c r="H73" s="0" t="inlineStr">
        <is>
          <t>Engenharia Frontend</t>
        </is>
      </c>
      <c r="I73" s="0" t="inlineStr">
        <is>
          <t>Não iniciado</t>
        </is>
      </c>
      <c r="J73" s="0">
        <v>16</v>
      </c>
      <c r="K73" s="0" t="inlineStr">
        <is>
          <t/>
        </is>
      </c>
      <c r="L73" s="0" t="inlineStr">
        <is>
          <t/>
        </is>
      </c>
      <c r="M73" s="3">
        <v>0</v>
      </c>
      <c r="N73" s="0" t="inlineStr">
        <is>
          <t/>
        </is>
      </c>
    </row>
    <row r="74">
      <c r="A74" s="0">
        <v>73</v>
      </c>
      <c r="B74" s="0" t="inlineStr">
        <is>
          <t>Frontend</t>
        </is>
      </c>
      <c r="C74" s="0" t="inlineStr">
        <is>
          <t>Estados</t>
        </is>
      </c>
      <c r="D74" s="0" t="inlineStr">
        <is>
          <t>Implementar loading vazio erro e offline</t>
        </is>
      </c>
      <c r="E74" s="0" t="inlineStr">
        <is>
          <t>Estados consistentes</t>
        </is>
      </c>
      <c r="F74" s="0" t="inlineStr">
        <is>
          <t>Alta</t>
        </is>
      </c>
      <c r="G74" s="0" t="inlineStr">
        <is>
          <t>60-72</t>
        </is>
      </c>
      <c r="H74" s="0" t="inlineStr">
        <is>
          <t>Engenharia Frontend</t>
        </is>
      </c>
      <c r="I74" s="0" t="inlineStr">
        <is>
          <t>Não iniciado</t>
        </is>
      </c>
      <c r="J74" s="0">
        <v>16</v>
      </c>
      <c r="K74" s="0" t="inlineStr">
        <is>
          <t/>
        </is>
      </c>
      <c r="L74" s="0" t="inlineStr">
        <is>
          <t/>
        </is>
      </c>
      <c r="M74" s="3">
        <v>0</v>
      </c>
      <c r="N74" s="0" t="inlineStr">
        <is>
          <t/>
        </is>
      </c>
    </row>
    <row r="75">
      <c r="A75" s="0">
        <v>74</v>
      </c>
      <c r="B75" s="0" t="inlineStr">
        <is>
          <t>Frontend</t>
        </is>
      </c>
      <c r="C75" s="0" t="inlineStr">
        <is>
          <t>Acessibilidade</t>
        </is>
      </c>
      <c r="D75" s="0" t="inlineStr">
        <is>
          <t>Aplicar WCAG foco teclado contraste e leitores</t>
        </is>
      </c>
      <c r="E75" s="0" t="inlineStr">
        <is>
          <t>Auditoria aprovada</t>
        </is>
      </c>
      <c r="F75" s="0" t="inlineStr">
        <is>
          <t>Alta</t>
        </is>
      </c>
      <c r="G75" s="0" t="inlineStr">
        <is>
          <t>60-73</t>
        </is>
      </c>
      <c r="H75" s="0" t="inlineStr">
        <is>
          <t>Engenharia Frontend</t>
        </is>
      </c>
      <c r="I75" s="0" t="inlineStr">
        <is>
          <t>Não iniciado</t>
        </is>
      </c>
      <c r="J75" s="0">
        <v>20</v>
      </c>
      <c r="K75" s="0" t="inlineStr">
        <is>
          <t/>
        </is>
      </c>
      <c r="L75" s="0" t="inlineStr">
        <is>
          <t/>
        </is>
      </c>
      <c r="M75" s="3">
        <v>0</v>
      </c>
      <c r="N75" s="0" t="inlineStr">
        <is>
          <t/>
        </is>
      </c>
    </row>
    <row r="76">
      <c r="A76" s="0">
        <v>75</v>
      </c>
      <c r="B76" s="0" t="inlineStr">
        <is>
          <t>Frontend</t>
        </is>
      </c>
      <c r="C76" s="0" t="inlineStr">
        <is>
          <t>Responsividade</t>
        </is>
      </c>
      <c r="D76" s="0" t="inlineStr">
        <is>
          <t>Validar celulares tablets e desktop</t>
        </is>
      </c>
      <c r="E76" s="0" t="inlineStr">
        <is>
          <t>Matriz responsiva</t>
        </is>
      </c>
      <c r="F76" s="0" t="inlineStr">
        <is>
          <t>Alta</t>
        </is>
      </c>
      <c r="G76" s="0" t="inlineStr">
        <is>
          <t>60-74</t>
        </is>
      </c>
      <c r="H76" s="0" t="inlineStr">
        <is>
          <t>Engenharia Frontend</t>
        </is>
      </c>
      <c r="I76" s="0" t="inlineStr">
        <is>
          <t>Não iniciado</t>
        </is>
      </c>
      <c r="J76" s="0">
        <v>16</v>
      </c>
      <c r="K76" s="0" t="inlineStr">
        <is>
          <t/>
        </is>
      </c>
      <c r="L76" s="0" t="inlineStr">
        <is>
          <t/>
        </is>
      </c>
      <c r="M76" s="3">
        <v>0</v>
      </c>
      <c r="N76" s="0" t="inlineStr">
        <is>
          <t/>
        </is>
      </c>
    </row>
    <row r="77">
      <c r="A77" s="0">
        <v>76</v>
      </c>
      <c r="B77" s="0" t="inlineStr">
        <is>
          <t>Conteúdo</t>
        </is>
      </c>
      <c r="C77" s="0" t="inlineStr">
        <is>
          <t>Editorial</t>
        </is>
      </c>
      <c r="D77" s="0" t="inlineStr">
        <is>
          <t>Revisar textos linguagem inclusiva e tom</t>
        </is>
      </c>
      <c r="E77" s="0" t="inlineStr">
        <is>
          <t>Conteúdo aprovado</t>
        </is>
      </c>
      <c r="F77" s="0" t="inlineStr">
        <is>
          <t>Alta</t>
        </is>
      </c>
      <c r="G77" s="0" t="inlineStr">
        <is>
          <t>17,108,110</t>
        </is>
      </c>
      <c r="H77" s="0" t="inlineStr">
        <is>
          <t>Pesquisa e Conteúdo</t>
        </is>
      </c>
      <c r="I77" s="0" t="inlineStr">
        <is>
          <t>Não iniciado</t>
        </is>
      </c>
      <c r="J77" s="0">
        <v>12</v>
      </c>
      <c r="K77" s="0" t="inlineStr">
        <is>
          <t/>
        </is>
      </c>
      <c r="L77" s="0" t="inlineStr">
        <is>
          <t/>
        </is>
      </c>
      <c r="M77" s="3">
        <v>0</v>
      </c>
      <c r="N77" s="0" t="inlineStr">
        <is>
          <t>Revisão editorial pode começar pelos lotes candidatos antes de concluir frontend - incluir textos de interface à medida que forem implementados</t>
        </is>
      </c>
    </row>
    <row r="78">
      <c r="A78" s="0">
        <v>77</v>
      </c>
      <c r="B78" s="0" t="inlineStr">
        <is>
          <t>Conteúdo</t>
        </is>
      </c>
      <c r="C78" s="0" t="inlineStr">
        <is>
          <t>Especialista</t>
        </is>
      </c>
      <c r="D78" s="0" t="inlineStr">
        <is>
          <t>Validar perguntas e recomendações com especialista</t>
        </is>
      </c>
      <c r="E78" s="0" t="inlineStr">
        <is>
          <t>Parecer de conteúdo</t>
        </is>
      </c>
      <c r="F78" s="0" t="inlineStr">
        <is>
          <t>Crítica</t>
        </is>
      </c>
      <c r="G78" s="0" t="inlineStr">
        <is>
          <t>108,110,115</t>
        </is>
      </c>
      <c r="H78" s="0" t="inlineStr">
        <is>
          <t>Pesquisa e Conteúdo</t>
        </is>
      </c>
      <c r="I78" s="0" t="inlineStr">
        <is>
          <t>Não iniciado</t>
        </is>
      </c>
      <c r="J78" s="0">
        <v>20</v>
      </c>
      <c r="K78" s="0" t="inlineStr">
        <is>
          <t/>
        </is>
      </c>
      <c r="L78" s="0" t="inlineStr">
        <is>
          <t/>
        </is>
      </c>
      <c r="M78" s="3">
        <v>0</v>
      </c>
      <c r="N78" s="0" t="inlineStr">
        <is>
          <t>Validar lotes e recomendações antes de publicação - distinguir conteúdo candidato de aprovado e seleção mínima de 60 atividades - conteúdo íntimo restrito conforme baseline do piloto</t>
        </is>
      </c>
    </row>
    <row r="79">
      <c r="A79" s="0">
        <v>78</v>
      </c>
      <c r="B79" s="0" t="inlineStr">
        <is>
          <t>Qualidade</t>
        </is>
      </c>
      <c r="C79" s="0" t="inlineStr">
        <is>
          <t>Testes</t>
        </is>
      </c>
      <c r="D79" s="0" t="inlineStr">
        <is>
          <t>Definir estratégia e critérios de aceite</t>
        </is>
      </c>
      <c r="E79" s="0" t="inlineStr">
        <is>
          <t>Plano de testes</t>
        </is>
      </c>
      <c r="F79" s="0" t="inlineStr">
        <is>
          <t>Crítica</t>
        </is>
      </c>
      <c r="G79" s="0" t="inlineStr">
        <is>
          <t>10,35</t>
        </is>
      </c>
      <c r="H79" s="0" t="inlineStr">
        <is>
          <t>Qualidade</t>
        </is>
      </c>
      <c r="I79" s="0" t="inlineStr">
        <is>
          <t>Não iniciado</t>
        </is>
      </c>
      <c r="J79" s="0">
        <v>8</v>
      </c>
      <c r="K79" s="0" t="inlineStr">
        <is>
          <t/>
        </is>
      </c>
      <c r="L79" s="0" t="inlineStr">
        <is>
          <t/>
        </is>
      </c>
      <c r="M79" s="3">
        <v>0</v>
      </c>
      <c r="N79" s="0" t="inlineStr">
        <is>
          <t/>
        </is>
      </c>
    </row>
    <row r="80">
      <c r="A80" s="0">
        <v>79</v>
      </c>
      <c r="B80" s="0" t="inlineStr">
        <is>
          <t>Qualidade</t>
        </is>
      </c>
      <c r="C80" s="0" t="inlineStr">
        <is>
          <t>Backend</t>
        </is>
      </c>
      <c r="D80" s="0" t="inlineStr">
        <is>
          <t>Criar testes unitários dos serviços</t>
        </is>
      </c>
      <c r="E80" s="0" t="inlineStr">
        <is>
          <t>Suíte automatizada</t>
        </is>
      </c>
      <c r="F80" s="0" t="inlineStr">
        <is>
          <t>Alta</t>
        </is>
      </c>
      <c r="G80" s="0" t="inlineStr">
        <is>
          <t>44-59,78</t>
        </is>
      </c>
      <c r="H80" s="0" t="inlineStr">
        <is>
          <t>Qualidade</t>
        </is>
      </c>
      <c r="I80" s="0" t="inlineStr">
        <is>
          <t>Não iniciado</t>
        </is>
      </c>
      <c r="J80" s="0">
        <v>30</v>
      </c>
      <c r="K80" s="0" t="inlineStr">
        <is>
          <t/>
        </is>
      </c>
      <c r="L80" s="0" t="inlineStr">
        <is>
          <t/>
        </is>
      </c>
      <c r="M80" s="3">
        <v>0</v>
      </c>
      <c r="N80" s="0" t="inlineStr">
        <is>
          <t>Incluir regras de autenticação autoria duas participações idempotência transições de rodada e progresso - não há suíte versionada identificada nesta revisão</t>
        </is>
      </c>
    </row>
    <row r="81">
      <c r="A81" s="0">
        <v>80</v>
      </c>
      <c r="B81" s="0" t="inlineStr">
        <is>
          <t>Qualidade</t>
        </is>
      </c>
      <c r="C81" s="0" t="inlineStr">
        <is>
          <t>Frontend</t>
        </is>
      </c>
      <c r="D81" s="0" t="inlineStr">
        <is>
          <t>Criar testes de componentes e hooks</t>
        </is>
      </c>
      <c r="E81" s="0" t="inlineStr">
        <is>
          <t>Suíte automatizada</t>
        </is>
      </c>
      <c r="F81" s="0" t="inlineStr">
        <is>
          <t>Alta</t>
        </is>
      </c>
      <c r="G81" s="0" t="inlineStr">
        <is>
          <t>60-75,78</t>
        </is>
      </c>
      <c r="H81" s="0" t="inlineStr">
        <is>
          <t>Qualidade</t>
        </is>
      </c>
      <c r="I81" s="0" t="inlineStr">
        <is>
          <t>Não iniciado</t>
        </is>
      </c>
      <c r="J81" s="0">
        <v>30</v>
      </c>
      <c r="K81" s="0" t="inlineStr">
        <is>
          <t/>
        </is>
      </c>
      <c r="L81" s="0" t="inlineStr">
        <is>
          <t/>
        </is>
      </c>
      <c r="M81" s="3">
        <v>0</v>
      </c>
      <c r="N81" s="0" t="inlineStr">
        <is>
          <t/>
        </is>
      </c>
    </row>
    <row r="82">
      <c r="A82" s="0">
        <v>81</v>
      </c>
      <c r="B82" s="0" t="inlineStr">
        <is>
          <t>Qualidade</t>
        </is>
      </c>
      <c r="C82" s="0" t="inlineStr">
        <is>
          <t>Integração</t>
        </is>
      </c>
      <c r="D82" s="0" t="inlineStr">
        <is>
          <t>Criar testes de integração da API</t>
        </is>
      </c>
      <c r="E82" s="0" t="inlineStr">
        <is>
          <t>Suíte automatizada</t>
        </is>
      </c>
      <c r="F82" s="0" t="inlineStr">
        <is>
          <t>Crítica</t>
        </is>
      </c>
      <c r="G82" s="0" t="inlineStr">
        <is>
          <t>44-59,78,111</t>
        </is>
      </c>
      <c r="H82" s="0" t="inlineStr">
        <is>
          <t>Qualidade</t>
        </is>
      </c>
      <c r="I82" s="0" t="inlineStr">
        <is>
          <t>Não iniciado</t>
        </is>
      </c>
      <c r="J82" s="0">
        <v>24</v>
      </c>
      <c r="K82" s="0" t="inlineStr">
        <is>
          <t/>
        </is>
      </c>
      <c r="L82" s="0" t="inlineStr">
        <is>
          <t/>
        </is>
      </c>
      <c r="M82" s="3">
        <v>0</v>
      </c>
      <c r="N82" s="0" t="inlineStr">
        <is>
          <t>Incluir escritas concorrentes falha de persistência retomada isolamento e reenvios - usar dados de teste sem tocar em contas reais</t>
        </is>
      </c>
    </row>
    <row r="83">
      <c r="A83" s="0">
        <v>82</v>
      </c>
      <c r="B83" s="0" t="inlineStr">
        <is>
          <t>Qualidade</t>
        </is>
      </c>
      <c r="C83" s="0" t="inlineStr">
        <is>
          <t>E2E</t>
        </is>
      </c>
      <c r="D83" s="0" t="inlineStr">
        <is>
          <t>Automatizar cadastro pareamento e revelação</t>
        </is>
      </c>
      <c r="E83" s="0" t="inlineStr">
        <is>
          <t>Fluxos E2E</t>
        </is>
      </c>
      <c r="F83" s="0" t="inlineStr">
        <is>
          <t>Crítica</t>
        </is>
      </c>
      <c r="G83" s="0" t="inlineStr">
        <is>
          <t>61-70,78,116</t>
        </is>
      </c>
      <c r="H83" s="0" t="inlineStr">
        <is>
          <t>Qualidade</t>
        </is>
      </c>
      <c r="I83" s="0" t="inlineStr">
        <is>
          <t>Não iniciado</t>
        </is>
      </c>
      <c r="J83" s="0">
        <v>32</v>
      </c>
      <c r="K83" s="0" t="inlineStr">
        <is>
          <t/>
        </is>
      </c>
      <c r="L83" s="0" t="inlineStr">
        <is>
          <t/>
        </is>
      </c>
      <c r="M83" s="3">
        <v>0</v>
      </c>
      <c r="N83" s="0" t="inlineStr">
        <is>
          <t>Dois contextos autenticados independentes - validar ida e volta da home retomada perguntas desafios pulo e revelação sem vazamento</t>
        </is>
      </c>
    </row>
    <row r="84">
      <c r="A84" s="0">
        <v>83</v>
      </c>
      <c r="B84" s="0" t="inlineStr">
        <is>
          <t>Qualidade</t>
        </is>
      </c>
      <c r="C84" s="0" t="inlineStr">
        <is>
          <t>Segurança</t>
        </is>
      </c>
      <c r="D84" s="0" t="inlineStr">
        <is>
          <t>Executar análise de dependências e vulnerabilidades</t>
        </is>
      </c>
      <c r="E84" s="0" t="inlineStr">
        <is>
          <t>Relatório corrigido</t>
        </is>
      </c>
      <c r="F84" s="0" t="inlineStr">
        <is>
          <t>Crítica</t>
        </is>
      </c>
      <c r="G84" s="0" t="inlineStr">
        <is>
          <t>36,40</t>
        </is>
      </c>
      <c r="H84" s="0" t="inlineStr">
        <is>
          <t>Qualidade</t>
        </is>
      </c>
      <c r="I84" s="0" t="inlineStr">
        <is>
          <t>Não iniciado</t>
        </is>
      </c>
      <c r="J84" s="0">
        <v>12</v>
      </c>
      <c r="K84" s="0" t="inlineStr">
        <is>
          <t/>
        </is>
      </c>
      <c r="L84" s="0" t="inlineStr">
        <is>
          <t/>
        </is>
      </c>
      <c r="M84" s="3">
        <v>0</v>
      </c>
      <c r="N84" s="0" t="inlineStr">
        <is>
          <t>Aplicar SEC-26 e ST-20 de docs/MODELAGEM-DE-AMEACAS.md - versões fixadas análise de dependências e segredos SBOM revisão de artefato e bloqueio de promoção com vulnerabilidade crítica explorável</t>
        </is>
      </c>
    </row>
    <row r="85">
      <c r="A85" s="0">
        <v>84</v>
      </c>
      <c r="B85" s="0" t="inlineStr">
        <is>
          <t>Qualidade</t>
        </is>
      </c>
      <c r="C85" s="0" t="inlineStr">
        <is>
          <t>Segurança</t>
        </is>
      </c>
      <c r="D85" s="0" t="inlineStr">
        <is>
          <t>Testar autorização e isolamento entre casais</t>
        </is>
      </c>
      <c r="E85" s="0" t="inlineStr">
        <is>
          <t>Relatório corrigido</t>
        </is>
      </c>
      <c r="F85" s="0" t="inlineStr">
        <is>
          <t>Crítica</t>
        </is>
      </c>
      <c r="G85" s="0" t="inlineStr">
        <is>
          <t>49,53,54</t>
        </is>
      </c>
      <c r="H85" s="0" t="inlineStr">
        <is>
          <t>Qualidade</t>
        </is>
      </c>
      <c r="I85" s="0" t="inlineStr">
        <is>
          <t>Não iniciado</t>
        </is>
      </c>
      <c r="J85" s="0">
        <v>20</v>
      </c>
      <c r="K85" s="0" t="inlineStr">
        <is>
          <t/>
        </is>
      </c>
      <c r="L85" s="0" t="inlineStr">
        <is>
          <t/>
        </is>
      </c>
      <c r="M85" s="3">
        <v>0</v>
      </c>
      <c r="N85" s="0" t="inlineStr">
        <is>
          <t>Executar casos ST-01 a ST-19 aplicáveis de docs/MODELAGEM-DE-AMEACAS.md com ênfase em BOLA BFLA convite sessão revelação corrida desvinculação logs admin e cache - nenhum vazamento S3 ou S4 e nenhuma ameaça crítica aberta antes do piloto</t>
        </is>
      </c>
    </row>
    <row r="86">
      <c r="A86" s="0">
        <v>85</v>
      </c>
      <c r="B86" s="0" t="inlineStr">
        <is>
          <t>Qualidade</t>
        </is>
      </c>
      <c r="C86" s="0" t="inlineStr">
        <is>
          <t>Performance</t>
        </is>
      </c>
      <c r="D86" s="0" t="inlineStr">
        <is>
          <t>Medir Core Web Vitals e API</t>
        </is>
      </c>
      <c r="E86" s="0" t="inlineStr">
        <is>
          <t>Relatório de performance</t>
        </is>
      </c>
      <c r="F86" s="0" t="inlineStr">
        <is>
          <t>Alta</t>
        </is>
      </c>
      <c r="G86" s="0" t="inlineStr">
        <is>
          <t>73,75</t>
        </is>
      </c>
      <c r="H86" s="0" t="inlineStr">
        <is>
          <t>Qualidade</t>
        </is>
      </c>
      <c r="I86" s="0" t="inlineStr">
        <is>
          <t>Não iniciado</t>
        </is>
      </c>
      <c r="J86" s="0">
        <v>12</v>
      </c>
      <c r="K86" s="0" t="inlineStr">
        <is>
          <t/>
        </is>
      </c>
      <c r="L86" s="0" t="inlineStr">
        <is>
          <t/>
        </is>
      </c>
      <c r="M86" s="3">
        <v>0</v>
      </c>
      <c r="N86" s="0" t="inlineStr">
        <is>
          <t/>
        </is>
      </c>
    </row>
    <row r="87">
      <c r="A87" s="0">
        <v>86</v>
      </c>
      <c r="B87" s="0" t="inlineStr">
        <is>
          <t>Qualidade</t>
        </is>
      </c>
      <c r="C87" s="0" t="inlineStr">
        <is>
          <t>Compatibilidade</t>
        </is>
      </c>
      <c r="D87" s="0" t="inlineStr">
        <is>
          <t>Testar navegadores e dispositivos reais</t>
        </is>
      </c>
      <c r="E87" s="0" t="inlineStr">
        <is>
          <t>Matriz aprovada</t>
        </is>
      </c>
      <c r="F87" s="0" t="inlineStr">
        <is>
          <t>Alta</t>
        </is>
      </c>
      <c r="G87" s="0" t="inlineStr">
        <is>
          <t>75</t>
        </is>
      </c>
      <c r="H87" s="0" t="inlineStr">
        <is>
          <t>Qualidade</t>
        </is>
      </c>
      <c r="I87" s="0" t="inlineStr">
        <is>
          <t>Não iniciado</t>
        </is>
      </c>
      <c r="J87" s="0">
        <v>16</v>
      </c>
      <c r="K87" s="0" t="inlineStr">
        <is>
          <t/>
        </is>
      </c>
      <c r="L87" s="0" t="inlineStr">
        <is>
          <t/>
        </is>
      </c>
      <c r="M87" s="3">
        <v>0</v>
      </c>
      <c r="N87" s="0" t="inlineStr">
        <is>
          <t/>
        </is>
      </c>
    </row>
    <row r="88">
      <c r="A88" s="0">
        <v>87</v>
      </c>
      <c r="B88" s="0" t="inlineStr">
        <is>
          <t>Qualidade</t>
        </is>
      </c>
      <c r="C88" s="0" t="inlineStr">
        <is>
          <t>Produto</t>
        </is>
      </c>
      <c r="D88" s="0" t="inlineStr">
        <is>
          <t>Executar QA exploratório completo</t>
        </is>
      </c>
      <c r="E88" s="0" t="inlineStr">
        <is>
          <t>Relatório de QA</t>
        </is>
      </c>
      <c r="F88" s="0" t="inlineStr">
        <is>
          <t>Crítica</t>
        </is>
      </c>
      <c r="G88" s="0" t="inlineStr">
        <is>
          <t>79-86</t>
        </is>
      </c>
      <c r="H88" s="0" t="inlineStr">
        <is>
          <t>Qualidade</t>
        </is>
      </c>
      <c r="I88" s="0" t="inlineStr">
        <is>
          <t>Não iniciado</t>
        </is>
      </c>
      <c r="J88" s="0">
        <v>24</v>
      </c>
      <c r="K88" s="0" t="inlineStr">
        <is>
          <t/>
        </is>
      </c>
      <c r="L88" s="0" t="inlineStr">
        <is>
          <t/>
        </is>
      </c>
      <c r="M88" s="3">
        <v>0</v>
      </c>
      <c r="N88" s="0" t="inlineStr">
        <is>
          <t/>
        </is>
      </c>
    </row>
    <row r="89">
      <c r="A89" s="0">
        <v>88</v>
      </c>
      <c r="B89" s="0" t="inlineStr">
        <is>
          <t>Jurídico</t>
        </is>
      </c>
      <c r="C89" s="0" t="inlineStr">
        <is>
          <t>Privacidade</t>
        </is>
      </c>
      <c r="D89" s="0" t="inlineStr">
        <is>
          <t>Redigir política de privacidade</t>
        </is>
      </c>
      <c r="E89" s="0" t="inlineStr">
        <is>
          <t>Documento publicado</t>
        </is>
      </c>
      <c r="F89" s="0" t="inlineStr">
        <is>
          <t>Crítica</t>
        </is>
      </c>
      <c r="G89" s="0" t="inlineStr">
        <is>
          <t>37</t>
        </is>
      </c>
      <c r="H89" s="0" t="inlineStr">
        <is>
          <t>Privacidade/Jurídico</t>
        </is>
      </c>
      <c r="I89" s="0" t="inlineStr">
        <is>
          <t>Não iniciado</t>
        </is>
      </c>
      <c r="J89" s="0">
        <v>16</v>
      </c>
      <c r="K89" s="0" t="inlineStr">
        <is>
          <t/>
        </is>
      </c>
      <c r="L89" s="0" t="inlineStr">
        <is>
          <t/>
        </is>
      </c>
      <c r="M89" s="3">
        <v>0</v>
      </c>
      <c r="N89" s="0" t="inlineStr">
        <is>
          <t>Usar operações OP-01 a OP-20 e decisões DEC-01 DEC-02 DEC-05 e DEC-08 do inventário LGPD - identificar controlador encarregado operadores transferências finalidades bases prazos direitos e limites da revelação ao parceiro</t>
        </is>
      </c>
    </row>
    <row r="90">
      <c r="A90" s="0">
        <v>89</v>
      </c>
      <c r="B90" s="0" t="inlineStr">
        <is>
          <t>Jurídico</t>
        </is>
      </c>
      <c r="C90" s="0" t="inlineStr">
        <is>
          <t>Termos</t>
        </is>
      </c>
      <c r="D90" s="0" t="inlineStr">
        <is>
          <t>Redigir termos de uso</t>
        </is>
      </c>
      <c r="E90" s="0" t="inlineStr">
        <is>
          <t>Documento publicado</t>
        </is>
      </c>
      <c r="F90" s="0" t="inlineStr">
        <is>
          <t>Crítica</t>
        </is>
      </c>
      <c r="G90" s="0" t="inlineStr">
        <is>
          <t>6,37</t>
        </is>
      </c>
      <c r="H90" s="0" t="inlineStr">
        <is>
          <t>Privacidade/Jurídico</t>
        </is>
      </c>
      <c r="I90" s="0" t="inlineStr">
        <is>
          <t>Não iniciado</t>
        </is>
      </c>
      <c r="J90" s="0">
        <v>16</v>
      </c>
      <c r="K90" s="0" t="inlineStr">
        <is>
          <t/>
        </is>
      </c>
      <c r="L90" s="0" t="inlineStr">
        <is>
          <t/>
        </is>
      </c>
      <c r="M90" s="3">
        <v>0</v>
      </c>
      <c r="N90" s="0" t="inlineStr">
        <is>
          <t/>
        </is>
      </c>
    </row>
    <row r="91">
      <c r="A91" s="0">
        <v>90</v>
      </c>
      <c r="B91" s="0" t="inlineStr">
        <is>
          <t>Jurídico</t>
        </is>
      </c>
      <c r="C91" s="0" t="inlineStr">
        <is>
          <t>Privacidade</t>
        </is>
      </c>
      <c r="D91" s="0" t="inlineStr">
        <is>
          <t>Implementar consentimentos e direitos LGPD</t>
        </is>
      </c>
      <c r="E91" s="0" t="inlineStr">
        <is>
          <t>Fluxos auditáveis</t>
        </is>
      </c>
      <c r="F91" s="0" t="inlineStr">
        <is>
          <t>Crítica</t>
        </is>
      </c>
      <c r="G91" s="0" t="inlineStr">
        <is>
          <t>37,88</t>
        </is>
      </c>
      <c r="H91" s="0" t="inlineStr">
        <is>
          <t>Privacidade/Jurídico</t>
        </is>
      </c>
      <c r="I91" s="0" t="inlineStr">
        <is>
          <t>Não iniciado</t>
        </is>
      </c>
      <c r="J91" s="0">
        <v>20</v>
      </c>
      <c r="K91" s="0" t="inlineStr">
        <is>
          <t/>
        </is>
      </c>
      <c r="L91" s="0" t="inlineStr">
        <is>
          <t/>
        </is>
      </c>
      <c r="M91" s="3">
        <v>0</v>
      </c>
      <c r="N91" s="0" t="inlineStr">
        <is>
          <t>Implementar CS-01 a CS-05 e DEC-03 DEC-04 DEC-06 DEC-07 DEC-09 e DEC-10 do inventário LGPD - consentimento específico para conteúdo potencialmente sensível revogação exportação exclusão propagação e RIPD antes do piloto</t>
        </is>
      </c>
    </row>
    <row r="92">
      <c r="A92" s="0">
        <v>91</v>
      </c>
      <c r="B92" s="0" t="inlineStr">
        <is>
          <t>Jurídico</t>
        </is>
      </c>
      <c r="C92" s="0" t="inlineStr">
        <is>
          <t>Operação</t>
        </is>
      </c>
      <c r="D92" s="0" t="inlineStr">
        <is>
          <t>Definir canal de suporte e exclusão de conta</t>
        </is>
      </c>
      <c r="E92" s="0" t="inlineStr">
        <is>
          <t>Processo operacional</t>
        </is>
      </c>
      <c r="F92" s="0" t="inlineStr">
        <is>
          <t>Alta</t>
        </is>
      </c>
      <c r="G92" s="0" t="inlineStr">
        <is>
          <t>50,90</t>
        </is>
      </c>
      <c r="H92" s="0" t="inlineStr">
        <is>
          <t>Privacidade/Jurídico</t>
        </is>
      </c>
      <c r="I92" s="0" t="inlineStr">
        <is>
          <t>Não iniciado</t>
        </is>
      </c>
      <c r="J92" s="0">
        <v>8</v>
      </c>
      <c r="K92" s="0" t="inlineStr">
        <is>
          <t/>
        </is>
      </c>
      <c r="L92" s="0" t="inlineStr">
        <is>
          <t/>
        </is>
      </c>
      <c r="M92" s="3">
        <v>0</v>
      </c>
      <c r="N92" s="0" t="inlineStr">
        <is>
          <t>Designar e publicar encarregado ou justificativa aplicável - operacionalizar OP-16 e OP-19 com verificação proporcional prazos RT-01 RT-05 RT-10 fila de operadores e separação de dados do parceiro</t>
        </is>
      </c>
    </row>
    <row r="93">
      <c r="A93" s="0">
        <v>92</v>
      </c>
      <c r="B93" s="0" t="inlineStr">
        <is>
          <t>Lançamento</t>
        </is>
      </c>
      <c r="C93" s="0" t="inlineStr">
        <is>
          <t>DevOps</t>
        </is>
      </c>
      <c r="D93" s="0" t="inlineStr">
        <is>
          <t>Configurar domínio DNS HTTPS e produção</t>
        </is>
      </c>
      <c r="E93" s="0" t="inlineStr">
        <is>
          <t>Ambiente publicado</t>
        </is>
      </c>
      <c r="F93" s="0" t="inlineStr">
        <is>
          <t>Crítica</t>
        </is>
      </c>
      <c r="G93" s="0" t="inlineStr">
        <is>
          <t>16,38,42,123</t>
        </is>
      </c>
      <c r="H93" s="0" t="inlineStr">
        <is>
          <t>DevOps/Plataforma</t>
        </is>
      </c>
      <c r="I93" s="0" t="inlineStr">
        <is>
          <t>Não iniciado</t>
        </is>
      </c>
      <c r="J93" s="0">
        <v>12</v>
      </c>
      <c r="K93" s="0" t="inlineStr">
        <is>
          <t/>
        </is>
      </c>
      <c r="L93" s="0" t="inlineStr">
        <is>
          <t/>
        </is>
      </c>
      <c r="M93" s="3">
        <v>0</v>
      </c>
      <c r="N93" s="0" t="inlineStr">
        <is>
          <t>Provisionar produção conforme docs/AMBIENTES.md após homologação 123 - frontend e API na mesma origem entrada HTTPS banco privado recursos isolados e artefato validado - domínio provedor região e custo ainda pendentes</t>
        </is>
      </c>
    </row>
    <row r="94">
      <c r="A94" s="0">
        <v>93</v>
      </c>
      <c r="B94" s="0" t="inlineStr">
        <is>
          <t>Lançamento</t>
        </is>
      </c>
      <c r="C94" s="0" t="inlineStr">
        <is>
          <t>Dados</t>
        </is>
      </c>
      <c r="D94" s="0" t="inlineStr">
        <is>
          <t>Executar migrações e backup inicial</t>
        </is>
      </c>
      <c r="E94" s="0" t="inlineStr">
        <is>
          <t>Banco pronto</t>
        </is>
      </c>
      <c r="F94" s="0" t="inlineStr">
        <is>
          <t>Crítica</t>
        </is>
      </c>
      <c r="G94" s="0" t="inlineStr">
        <is>
          <t>41,92,118</t>
        </is>
      </c>
      <c r="H94" s="0" t="inlineStr">
        <is>
          <t>DevOps/Plataforma</t>
        </is>
      </c>
      <c r="I94" s="0" t="inlineStr">
        <is>
          <t>Não iniciado</t>
        </is>
      </c>
      <c r="J94" s="0">
        <v>8</v>
      </c>
      <c r="K94" s="0" t="inlineStr">
        <is>
          <t/>
        </is>
      </c>
      <c r="L94" s="0" t="inlineStr">
        <is>
          <t/>
        </is>
      </c>
      <c r="M94" s="3">
        <v>0</v>
      </c>
      <c r="N94" s="0" t="inlineStr">
        <is>
          <t>Migração com staging e conferência dos dados legados - backup inicial e restauração comprovada antes de declarar banco pronto</t>
        </is>
      </c>
    </row>
    <row r="95">
      <c r="A95" s="0">
        <v>94</v>
      </c>
      <c r="B95" s="0" t="inlineStr">
        <is>
          <t>Lançamento</t>
        </is>
      </c>
      <c r="C95" s="0" t="inlineStr">
        <is>
          <t>Produto</t>
        </is>
      </c>
      <c r="D95" s="0" t="inlineStr">
        <is>
          <t>Preparar landing page e materiais</t>
        </is>
      </c>
      <c r="E95" s="0" t="inlineStr">
        <is>
          <t>Página de lançamento</t>
        </is>
      </c>
      <c r="F95" s="0" t="inlineStr">
        <is>
          <t>Alta</t>
        </is>
      </c>
      <c r="G95" s="0" t="inlineStr">
        <is>
          <t>17,18</t>
        </is>
      </c>
      <c r="H95" s="0" t="inlineStr">
        <is>
          <t>Growth e Operações</t>
        </is>
      </c>
      <c r="I95" s="0" t="inlineStr">
        <is>
          <t>Não iniciado</t>
        </is>
      </c>
      <c r="J95" s="0">
        <v>20</v>
      </c>
      <c r="K95" s="0" t="inlineStr">
        <is>
          <t/>
        </is>
      </c>
      <c r="L95" s="0" t="inlineStr">
        <is>
          <t/>
        </is>
      </c>
      <c r="M95" s="3">
        <v>0</v>
      </c>
      <c r="N95" s="0" t="inlineStr">
        <is>
          <t/>
        </is>
      </c>
    </row>
    <row r="96">
      <c r="A96" s="0">
        <v>95</v>
      </c>
      <c r="B96" s="0" t="inlineStr">
        <is>
          <t>Lançamento</t>
        </is>
      </c>
      <c r="C96" s="0" t="inlineStr">
        <is>
          <t>Operação</t>
        </is>
      </c>
      <c r="D96" s="0" t="inlineStr">
        <is>
          <t>Preparar FAQ suporte e incidentes</t>
        </is>
      </c>
      <c r="E96" s="0" t="inlineStr">
        <is>
          <t>Playbook operacional</t>
        </is>
      </c>
      <c r="F96" s="0" t="inlineStr">
        <is>
          <t>Alta</t>
        </is>
      </c>
      <c r="G96" s="0" t="inlineStr">
        <is>
          <t>91</t>
        </is>
      </c>
      <c r="H96" s="0" t="inlineStr">
        <is>
          <t>Growth e Operações</t>
        </is>
      </c>
      <c r="I96" s="0" t="inlineStr">
        <is>
          <t>Não iniciado</t>
        </is>
      </c>
      <c r="J96" s="0">
        <v>12</v>
      </c>
      <c r="K96" s="0" t="inlineStr">
        <is>
          <t/>
        </is>
      </c>
      <c r="L96" s="0" t="inlineStr">
        <is>
          <t/>
        </is>
      </c>
      <c r="M96" s="3">
        <v>0</v>
      </c>
      <c r="N96" s="0" t="inlineStr">
        <is>
          <t>Incluir DEC-11 do inventário LGPD - contato 24x7 avaliação de risco ou dano relevante registro de decisão e comunicação à ANPD e titulares em até 3 dias úteis quando aplicável</t>
        </is>
      </c>
    </row>
    <row r="97">
      <c r="A97" s="0">
        <v>96</v>
      </c>
      <c r="B97" s="0" t="inlineStr">
        <is>
          <t>Lançamento</t>
        </is>
      </c>
      <c r="C97" s="0" t="inlineStr">
        <is>
          <t>Homologação</t>
        </is>
      </c>
      <c r="D97" s="0" t="inlineStr">
        <is>
          <t>Executar UAT com grupo piloto</t>
        </is>
      </c>
      <c r="E97" s="0" t="inlineStr">
        <is>
          <t>Aceite do produto</t>
        </is>
      </c>
      <c r="F97" s="0" t="inlineStr">
        <is>
          <t>Crítica</t>
        </is>
      </c>
      <c r="G97" s="0" t="inlineStr">
        <is>
          <t>87,90,92-95,77,116,117,119,121,122</t>
        </is>
      </c>
      <c r="H97" s="0" t="inlineStr">
        <is>
          <t>Growth e Operações</t>
        </is>
      </c>
      <c r="I97" s="0" t="inlineStr">
        <is>
          <t>Não iniciado</t>
        </is>
      </c>
      <c r="J97" s="0">
        <v>24</v>
      </c>
      <c r="K97" s="0" t="inlineStr">
        <is>
          <t/>
        </is>
      </c>
      <c r="L97" s="0" t="inlineStr">
        <is>
          <t/>
        </is>
      </c>
      <c r="M97" s="3">
        <v>0</v>
      </c>
      <c r="N97" s="0" t="inlineStr">
        <is>
          <t>UAT do ciclo bilateral conforme baseline 112 - mecânicas 113 e 114 entram no aceite se mantidas para o piloto - reunir evidências de conteúdo privacidade fornecedores e operação</t>
        </is>
      </c>
    </row>
    <row r="98">
      <c r="A98" s="0">
        <v>97</v>
      </c>
      <c r="B98" s="0" t="inlineStr">
        <is>
          <t>Lançamento</t>
        </is>
      </c>
      <c r="C98" s="0" t="inlineStr">
        <is>
          <t>Produto</t>
        </is>
      </c>
      <c r="D98" s="0" t="inlineStr">
        <is>
          <t>Corrigir bloqueadores do piloto</t>
        </is>
      </c>
      <c r="E98" s="0" t="inlineStr">
        <is>
          <t>Release candidate</t>
        </is>
      </c>
      <c r="F98" s="0" t="inlineStr">
        <is>
          <t>Crítica</t>
        </is>
      </c>
      <c r="G98" s="0" t="inlineStr">
        <is>
          <t>96</t>
        </is>
      </c>
      <c r="H98" s="0" t="inlineStr">
        <is>
          <t>Growth e Operações</t>
        </is>
      </c>
      <c r="I98" s="0" t="inlineStr">
        <is>
          <t>Não iniciado</t>
        </is>
      </c>
      <c r="J98" s="0">
        <v>30</v>
      </c>
      <c r="K98" s="0" t="inlineStr">
        <is>
          <t/>
        </is>
      </c>
      <c r="L98" s="0" t="inlineStr">
        <is>
          <t/>
        </is>
      </c>
      <c r="M98" s="3">
        <v>0</v>
      </c>
      <c r="N98" s="0" t="inlineStr">
        <is>
          <t/>
        </is>
      </c>
    </row>
    <row r="99">
      <c r="A99" s="0">
        <v>98</v>
      </c>
      <c r="B99" s="0" t="inlineStr">
        <is>
          <t>Lançamento</t>
        </is>
      </c>
      <c r="C99" s="0" t="inlineStr">
        <is>
          <t>Gestão</t>
        </is>
      </c>
      <c r="D99" s="0" t="inlineStr">
        <is>
          <t>Realizar checklist go/no-go</t>
        </is>
      </c>
      <c r="E99" s="0" t="inlineStr">
        <is>
          <t>Decisão documentada</t>
        </is>
      </c>
      <c r="F99" s="0" t="inlineStr">
        <is>
          <t>Crítica</t>
        </is>
      </c>
      <c r="G99" s="0" t="inlineStr">
        <is>
          <t>97</t>
        </is>
      </c>
      <c r="H99" s="0" t="inlineStr">
        <is>
          <t>Growth e Operações</t>
        </is>
      </c>
      <c r="I99" s="0" t="inlineStr">
        <is>
          <t>Não iniciado</t>
        </is>
      </c>
      <c r="J99" s="0">
        <v>4</v>
      </c>
      <c r="K99" s="0" t="inlineStr">
        <is>
          <t/>
        </is>
      </c>
      <c r="L99" s="0" t="inlineStr">
        <is>
          <t/>
        </is>
      </c>
      <c r="M99" s="3">
        <v>0</v>
      </c>
      <c r="N99" s="0" t="inlineStr">
        <is>
          <t/>
        </is>
      </c>
    </row>
    <row r="100">
      <c r="A100" s="0">
        <v>99</v>
      </c>
      <c r="B100" s="0" t="inlineStr">
        <is>
          <t>Lançamento</t>
        </is>
      </c>
      <c r="C100" s="0" t="inlineStr">
        <is>
          <t>DevOps</t>
        </is>
      </c>
      <c r="D100" s="0" t="inlineStr">
        <is>
          <t>Publicar versão de produção</t>
        </is>
      </c>
      <c r="E100" s="0" t="inlineStr">
        <is>
          <t>Release 1.0</t>
        </is>
      </c>
      <c r="F100" s="0" t="inlineStr">
        <is>
          <t>Crítica</t>
        </is>
      </c>
      <c r="G100" s="0" t="inlineStr">
        <is>
          <t>98</t>
        </is>
      </c>
      <c r="H100" s="0" t="inlineStr">
        <is>
          <t>DevOps/Plataforma</t>
        </is>
      </c>
      <c r="I100" s="0" t="inlineStr">
        <is>
          <t>Não iniciado</t>
        </is>
      </c>
      <c r="J100" s="0">
        <v>6</v>
      </c>
      <c r="K100" s="0" t="inlineStr">
        <is>
          <t/>
        </is>
      </c>
      <c r="L100" s="0" t="inlineStr">
        <is>
          <t/>
        </is>
      </c>
      <c r="M100" s="3">
        <v>0</v>
      </c>
      <c r="N100" s="0" t="inlineStr">
        <is>
          <t/>
        </is>
      </c>
    </row>
    <row r="101">
      <c r="A101" s="0">
        <v>100</v>
      </c>
      <c r="B101" s="0" t="inlineStr">
        <is>
          <t>Pós-lançamento</t>
        </is>
      </c>
      <c r="C101" s="0" t="inlineStr">
        <is>
          <t>Operação</t>
        </is>
      </c>
      <c r="D101" s="0" t="inlineStr">
        <is>
          <t>Monitorar erros segurança e disponibilidade</t>
        </is>
      </c>
      <c r="E101" s="0" t="inlineStr">
        <is>
          <t>Relatório da primeira semana</t>
        </is>
      </c>
      <c r="F101" s="0" t="inlineStr">
        <is>
          <t>Crítica</t>
        </is>
      </c>
      <c r="G101" s="0" t="inlineStr">
        <is>
          <t>99</t>
        </is>
      </c>
      <c r="H101" s="0" t="inlineStr">
        <is>
          <t>Growth e Operações</t>
        </is>
      </c>
      <c r="I101" s="0" t="inlineStr">
        <is>
          <t>Não iniciado</t>
        </is>
      </c>
      <c r="J101" s="0">
        <v>20</v>
      </c>
      <c r="K101" s="0" t="inlineStr">
        <is>
          <t/>
        </is>
      </c>
      <c r="L101" s="0" t="inlineStr">
        <is>
          <t/>
        </is>
      </c>
      <c r="M101" s="3">
        <v>0</v>
      </c>
      <c r="N101" s="0" t="inlineStr">
        <is>
          <t/>
        </is>
      </c>
    </row>
    <row r="102">
      <c r="A102" s="0">
        <v>101</v>
      </c>
      <c r="B102" s="0" t="inlineStr">
        <is>
          <t>Pós-lançamento</t>
        </is>
      </c>
      <c r="C102" s="0" t="inlineStr">
        <is>
          <t>Produto</t>
        </is>
      </c>
      <c r="D102" s="0" t="inlineStr">
        <is>
          <t>Analisar ativação retenção e pareamento</t>
        </is>
      </c>
      <c r="E102" s="0" t="inlineStr">
        <is>
          <t>Dashboard de métricas</t>
        </is>
      </c>
      <c r="F102" s="0" t="inlineStr">
        <is>
          <t>Alta</t>
        </is>
      </c>
      <c r="G102" s="0" t="inlineStr">
        <is>
          <t>7,99</t>
        </is>
      </c>
      <c r="H102" s="0" t="inlineStr">
        <is>
          <t>Product Owner</t>
        </is>
      </c>
      <c r="I102" s="0" t="inlineStr">
        <is>
          <t>Não iniciado</t>
        </is>
      </c>
      <c r="J102" s="0">
        <v>12</v>
      </c>
      <c r="K102" s="0" t="inlineStr">
        <is>
          <t/>
        </is>
      </c>
      <c r="L102" s="0" t="inlineStr">
        <is>
          <t/>
        </is>
      </c>
      <c r="M102" s="3">
        <v>0</v>
      </c>
      <c r="N102" s="0" t="inlineStr">
        <is>
          <t/>
        </is>
      </c>
    </row>
    <row r="103">
      <c r="A103" s="0">
        <v>102</v>
      </c>
      <c r="B103" s="0" t="inlineStr">
        <is>
          <t>Pós-lançamento</t>
        </is>
      </c>
      <c r="C103" s="0" t="inlineStr">
        <is>
          <t>Pesquisa</t>
        </is>
      </c>
      <c r="D103" s="0" t="inlineStr">
        <is>
          <t>Coletar feedback e entrevistas</t>
        </is>
      </c>
      <c r="E103" s="0" t="inlineStr">
        <is>
          <t>Relatório pós-lançamento</t>
        </is>
      </c>
      <c r="F103" s="0" t="inlineStr">
        <is>
          <t>Alta</t>
        </is>
      </c>
      <c r="G103" s="0" t="inlineStr">
        <is>
          <t>99</t>
        </is>
      </c>
      <c r="H103" s="0" t="inlineStr">
        <is>
          <t>Pesquisa e Conteúdo</t>
        </is>
      </c>
      <c r="I103" s="0" t="inlineStr">
        <is>
          <t>Não iniciado</t>
        </is>
      </c>
      <c r="J103" s="0">
        <v>20</v>
      </c>
      <c r="K103" s="0" t="inlineStr">
        <is>
          <t/>
        </is>
      </c>
      <c r="L103" s="0" t="inlineStr">
        <is>
          <t/>
        </is>
      </c>
      <c r="M103" s="3">
        <v>0</v>
      </c>
      <c r="N103" s="0" t="inlineStr">
        <is>
          <t/>
        </is>
      </c>
    </row>
    <row r="104">
      <c r="A104" s="0">
        <v>103</v>
      </c>
      <c r="B104" s="0" t="inlineStr">
        <is>
          <t>Pós-lançamento</t>
        </is>
      </c>
      <c r="C104" s="0" t="inlineStr">
        <is>
          <t>Produto</t>
        </is>
      </c>
      <c r="D104" s="0" t="inlineStr">
        <is>
          <t>Priorizar melhorias e roadmap V2</t>
        </is>
      </c>
      <c r="E104" s="0" t="inlineStr">
        <is>
          <t>Roadmap V2</t>
        </is>
      </c>
      <c r="F104" s="0" t="inlineStr">
        <is>
          <t>Alta</t>
        </is>
      </c>
      <c r="G104" s="0" t="inlineStr">
        <is>
          <t>100-102</t>
        </is>
      </c>
      <c r="H104" s="0" t="inlineStr">
        <is>
          <t>Product Owner</t>
        </is>
      </c>
      <c r="I104" s="0" t="inlineStr">
        <is>
          <t>Não iniciado</t>
        </is>
      </c>
      <c r="J104" s="0">
        <v>10</v>
      </c>
      <c r="K104" s="0" t="inlineStr">
        <is>
          <t/>
        </is>
      </c>
      <c r="L104" s="0" t="inlineStr">
        <is>
          <t/>
        </is>
      </c>
      <c r="M104" s="3">
        <v>0</v>
      </c>
      <c r="N104" s="0" t="inlineStr">
        <is>
          <t/>
        </is>
      </c>
    </row>
    <row r="105">
      <c r="A105" s="0">
        <v>104</v>
      </c>
      <c r="B105" s="0" t="inlineStr">
        <is>
          <t>Pós-lançamento</t>
        </is>
      </c>
      <c r="C105" s="0" t="inlineStr">
        <is>
          <t>Engenharia</t>
        </is>
      </c>
      <c r="D105" s="0" t="inlineStr">
        <is>
          <t>Planejar escalabilidade e custos</t>
        </is>
      </c>
      <c r="E105" s="0" t="inlineStr">
        <is>
          <t>Plano de capacidade</t>
        </is>
      </c>
      <c r="F105" s="0" t="inlineStr">
        <is>
          <t>Média</t>
        </is>
      </c>
      <c r="G105" s="0" t="inlineStr">
        <is>
          <t>100,101</t>
        </is>
      </c>
      <c r="H105" s="0" t="inlineStr">
        <is>
          <t>Liderança Técnica</t>
        </is>
      </c>
      <c r="I105" s="0" t="inlineStr">
        <is>
          <t>Não iniciado</t>
        </is>
      </c>
      <c r="J105" s="0">
        <v>10</v>
      </c>
      <c r="K105" s="0" t="inlineStr">
        <is>
          <t/>
        </is>
      </c>
      <c r="L105" s="0" t="inlineStr">
        <is>
          <t/>
        </is>
      </c>
      <c r="M105" s="3">
        <v>0</v>
      </c>
      <c r="N105" s="0" t="inlineStr">
        <is>
          <t/>
        </is>
      </c>
    </row>
    <row r="106">
      <c r="A106" s="0">
        <v>105</v>
      </c>
      <c r="B106" s="0" t="inlineStr">
        <is>
          <t>Pós-lançamento</t>
        </is>
      </c>
      <c r="C106" s="0" t="inlineStr">
        <is>
          <t>Gestão</t>
        </is>
      </c>
      <c r="D106" s="0" t="inlineStr">
        <is>
          <t>Realizar retrospectiva do projeto</t>
        </is>
      </c>
      <c r="E106" s="0" t="inlineStr">
        <is>
          <t>Lições aprendidas</t>
        </is>
      </c>
      <c r="F106" s="0" t="inlineStr">
        <is>
          <t>Média</t>
        </is>
      </c>
      <c r="G106" s="0" t="inlineStr">
        <is>
          <t>100-103</t>
        </is>
      </c>
      <c r="H106" s="0" t="inlineStr">
        <is>
          <t>Product Owner</t>
        </is>
      </c>
      <c r="I106" s="0" t="inlineStr">
        <is>
          <t>Não iniciado</t>
        </is>
      </c>
      <c r="J106" s="0">
        <v>5</v>
      </c>
      <c r="K106" s="0" t="inlineStr">
        <is>
          <t/>
        </is>
      </c>
      <c r="L106" s="0" t="inlineStr">
        <is>
          <t/>
        </is>
      </c>
      <c r="M106" s="3">
        <v>0</v>
      </c>
      <c r="N106" s="0" t="inlineStr">
        <is>
          <t/>
        </is>
      </c>
    </row>
    <row r="107">
      <c r="A107" s="0">
        <v>106</v>
      </c>
      <c r="B107" s="0" t="inlineStr">
        <is>
          <t>Backend</t>
        </is>
      </c>
      <c r="C107" s="0" t="inlineStr">
        <is>
          <t>Analytics</t>
        </is>
      </c>
      <c r="D107" s="0" t="inlineStr">
        <is>
          <t>Instrumentar eventos e agregação de métricas</t>
        </is>
      </c>
      <c r="E107" s="0" t="inlineStr">
        <is>
          <t>API administrativa de métricas</t>
        </is>
      </c>
      <c r="F107" s="0" t="inlineStr">
        <is>
          <t>Crítica</t>
        </is>
      </c>
      <c r="G107" s="0" t="inlineStr">
        <is>
          <t>7,34,35,111</t>
        </is>
      </c>
      <c r="H107" s="0" t="inlineStr">
        <is>
          <t>Engenharia Backend</t>
        </is>
      </c>
      <c r="I107" s="0" t="inlineStr">
        <is>
          <t>Em andamento</t>
        </is>
      </c>
      <c r="J107" s="0">
        <v>20</v>
      </c>
      <c r="K107" s="0" t="inlineStr">
        <is>
          <t/>
        </is>
      </c>
      <c r="L107" s="0" t="inlineStr">
        <is>
          <t/>
        </is>
      </c>
      <c r="M107" s="3">
        <v>0.5</v>
      </c>
      <c r="N107" s="0" t="inlineStr">
        <is>
          <t>Endpoint e agregações implementados - reaberto: eventos financeiros aceitos do cliente reativação não recupera pagantes retenção acumulada rotulada D7 e mode descartado - definir fontes confiáveis e testar métricas</t>
        </is>
      </c>
    </row>
    <row r="108">
      <c r="A108" s="0">
        <v>107</v>
      </c>
      <c r="B108" s="0" t="inlineStr">
        <is>
          <t>Frontend</t>
        </is>
      </c>
      <c r="C108" s="0" t="inlineStr">
        <is>
          <t>Administração</t>
        </is>
      </c>
      <c r="D108" s="0" t="inlineStr">
        <is>
          <t>Criar painel administrativo de métricas</t>
        </is>
      </c>
      <c r="E108" s="0" t="inlineStr">
        <is>
          <t>Dashboard administrativo</t>
        </is>
      </c>
      <c r="F108" s="0" t="inlineStr">
        <is>
          <t>Alta</t>
        </is>
      </c>
      <c r="G108" s="0" t="inlineStr">
        <is>
          <t>106</t>
        </is>
      </c>
      <c r="H108" s="0" t="inlineStr">
        <is>
          <t>Engenharia Frontend</t>
        </is>
      </c>
      <c r="I108" s="0" t="inlineStr">
        <is>
          <t>Em andamento</t>
        </is>
      </c>
      <c r="J108" s="0">
        <v>18</v>
      </c>
      <c r="K108" s="0" t="inlineStr">
        <is>
          <t/>
        </is>
      </c>
      <c r="L108" s="0" t="inlineStr">
        <is>
          <t/>
        </is>
      </c>
      <c r="M108" s="3">
        <v>0.5</v>
      </c>
      <c r="N108" s="0" t="inlineStr">
        <is>
          <t>Painel implementado - reaberto para distinguir não instrumentado de zero e esclarecer coortes origem dos dados e limitações - aceite depende da correção e validação da tarefa 106</t>
        </is>
      </c>
    </row>
    <row r="109">
      <c r="A109" s="0">
        <v>108</v>
      </c>
      <c r="B109" s="0" t="inlineStr">
        <is>
          <t>Conteúdo</t>
        </is>
      </c>
      <c r="C109" s="0" t="inlineStr">
        <is>
          <t>Editorial</t>
        </is>
      </c>
      <c r="D109" s="0" t="inlineStr">
        <is>
          <t>Produzir banco inicial de perguntas de múltipla escolha</t>
        </is>
      </c>
      <c r="E109" s="0" t="inlineStr">
        <is>
          <t>Planilha editorial de perguntas</t>
        </is>
      </c>
      <c r="F109" s="0" t="inlineStr">
        <is>
          <t>Crítica</t>
        </is>
      </c>
      <c r="G109" s="0" t="inlineStr">
        <is>
          <t>19,17</t>
        </is>
      </c>
      <c r="H109" s="0" t="inlineStr">
        <is>
          <t>Pesquisa e Conteúdo</t>
        </is>
      </c>
      <c r="I109" s="0" t="inlineStr">
        <is>
          <t>Em andamento</t>
        </is>
      </c>
      <c r="J109" s="0">
        <v>20</v>
      </c>
      <c r="K109" s="0" t="inlineStr">
        <is>
          <t/>
        </is>
      </c>
      <c r="L109" s="0" t="inlineStr">
        <is>
          <t/>
        </is>
      </c>
      <c r="M109" s="3">
        <v>0.5</v>
      </c>
      <c r="N109" s="0" t="inlineStr">
        <is>
          <t>75 perguntas de múltipla escolha candidatas em Conteúdo/banco-de-perguntas-conectadois.xlsx - produção precede revisão 76 e parecer 77 - pendentes revisão editorial aprovação e seleção do lote do piloto</t>
        </is>
      </c>
    </row>
    <row r="110">
      <c r="A110" s="0">
        <v>109</v>
      </c>
      <c r="B110" s="0" t="inlineStr">
        <is>
          <t>Frontend</t>
        </is>
      </c>
      <c r="C110" s="0" t="inlineStr">
        <is>
          <t>Jogo</t>
        </is>
      </c>
      <c r="D110" s="0" t="inlineStr">
        <is>
          <t>Incluir seleção inicial de temas e formatos</t>
        </is>
      </c>
      <c r="E110" s="0" t="inlineStr">
        <is>
          <t>Perguntas discursivas e desafios no mesmo dispositivo</t>
        </is>
      </c>
      <c r="F110" s="0" t="inlineStr">
        <is>
          <t>Alta</t>
        </is>
      </c>
      <c r="G110" s="0" t="inlineStr">
        <is>
          <t>108</t>
        </is>
      </c>
      <c r="H110" s="0" t="inlineStr">
        <is>
          <t>Engenharia Frontend</t>
        </is>
      </c>
      <c r="I110" s="0" t="inlineStr">
        <is>
          <t>Concluído</t>
        </is>
      </c>
      <c r="J110" s="0">
        <v>12</v>
      </c>
      <c r="K110" s="0" t="inlineStr">
        <is>
          <t/>
        </is>
      </c>
      <c r="L110" s="0" t="inlineStr">
        <is>
          <t/>
        </is>
      </c>
      <c r="M110" s="3">
        <v>1</v>
      </c>
      <c r="N110" s="0" t="inlineStr">
        <is>
          <t>Onze temas com dois formatos e modo misto - respostas por jogador e confirmação individual de desafios - pular e reiniciar disponíveis</t>
        </is>
      </c>
    </row>
    <row r="111">
      <c r="A111" s="0">
        <v>110</v>
      </c>
      <c r="B111" s="0" t="inlineStr">
        <is>
          <t>Conteúdo</t>
        </is>
      </c>
      <c r="C111" s="0" t="inlineStr">
        <is>
          <t>Editorial</t>
        </is>
      </c>
      <c r="D111" s="0" t="inlineStr">
        <is>
          <t>Ampliar todos os temas com perguntas discursivas e desafios</t>
        </is>
      </c>
      <c r="E111" s="0" t="inlineStr">
        <is>
          <t>44 novas atividades no app e banco editorial</t>
        </is>
      </c>
      <c r="F111" s="0" t="inlineStr">
        <is>
          <t>Alta</t>
        </is>
      </c>
      <c r="G111" s="0" t="inlineStr">
        <is>
          <t>108</t>
        </is>
      </c>
      <c r="H111" s="0" t="inlineStr">
        <is>
          <t>Pesquisa e Conteúdo</t>
        </is>
      </c>
      <c r="I111" s="0" t="inlineStr">
        <is>
          <t>Em andamento</t>
        </is>
      </c>
      <c r="J111" s="0">
        <v>8</v>
      </c>
      <c r="K111" s="0" t="inlineStr">
        <is>
          <t/>
        </is>
      </c>
      <c r="L111" s="0" t="inlineStr">
        <is>
          <t/>
        </is>
      </c>
      <c r="M111" s="3">
        <v>0.5</v>
      </c>
      <c r="N111" s="0" t="inlineStr">
        <is>
          <t>Duas perguntas e dois desafios por tema implementados - 22 desafios separados na aba Desafios e perguntas nas abas temáticas - revisão editorial e especializada pendentes antes de publicação</t>
        </is>
      </c>
    </row>
    <row r="112">
      <c r="A112" s="0">
        <v>111</v>
      </c>
      <c r="B112" s="0" t="inlineStr">
        <is>
          <t>Backend</t>
        </is>
      </c>
      <c r="C112" s="0" t="inlineStr">
        <is>
          <t>Sessões de jogo</t>
        </is>
      </c>
      <c r="D112" s="0" t="inlineStr">
        <is>
          <t>Persistir partidas rodadas e participantes</t>
        </is>
      </c>
      <c r="E112" s="0" t="inlineStr">
        <is>
          <t>Serviço de partidas com autorização por casal</t>
        </is>
      </c>
      <c r="F112" s="0" t="inlineStr">
        <is>
          <t>Alta</t>
        </is>
      </c>
      <c r="G112" s="0" t="inlineStr">
        <is>
          <t>34,35,41,49,52</t>
        </is>
      </c>
      <c r="H112" s="0" t="inlineStr">
        <is>
          <t>Engenharia Backend</t>
        </is>
      </c>
      <c r="I112" s="0" t="inlineStr">
        <is>
          <t>Não iniciado</t>
        </is>
      </c>
      <c r="J112" s="0">
        <v>16</v>
      </c>
      <c r="K112" s="0" t="inlineStr">
        <is>
          <t/>
        </is>
      </c>
      <c r="L112" s="0" t="inlineStr">
        <is>
          <t/>
        </is>
      </c>
      <c r="M112" s="3">
        <v>0</v>
      </c>
      <c r="N112" s="0" t="inlineStr">
        <is>
          <t>Implementar modelo de partidas e snapshots de conteúdo - integrar respostas e progresso com transações e testes de concorrência</t>
        </is>
      </c>
    </row>
    <row r="113">
      <c r="A113" s="0">
        <v>112</v>
      </c>
      <c r="B113" s="0" t="inlineStr">
        <is>
          <t>Planejamento</t>
        </is>
      </c>
      <c r="C113" s="0" t="inlineStr">
        <is>
          <t>Produto</t>
        </is>
      </c>
      <c r="D113" s="0" t="inlineStr">
        <is>
          <t>Reconciliar temas formatos mecânicas e escopo do piloto</t>
        </is>
      </c>
      <c r="E113" s="0" t="inlineStr">
        <is>
          <t>Baseline e matriz de rastreabilidade</t>
        </is>
      </c>
      <c r="F113" s="0" t="inlineStr">
        <is>
          <t>Crítica</t>
        </is>
      </c>
      <c r="G113" s="0" t="inlineStr">
        <is>
          <t>8,10,34</t>
        </is>
      </c>
      <c r="H113" s="0" t="inlineStr">
        <is>
          <t>Product Owner — Tatyele Lopes</t>
        </is>
      </c>
      <c r="I113" s="0" t="inlineStr">
        <is>
          <t>Não iniciado</t>
        </is>
      </c>
      <c r="J113" s="0">
        <v>8</v>
      </c>
      <c r="K113" s="0" t="inlineStr">
        <is>
          <t/>
        </is>
      </c>
      <c r="L113" s="0" t="inlineStr">
        <is>
          <t/>
        </is>
      </c>
      <c r="M113" s="3">
        <v>0</v>
      </c>
      <c r="N113" s="0" t="inlineStr">
        <is>
          <t>Conciliar perguntas desafios e misto com resposta guardada adivinhação e coincidências - decidir primeiro piloto e atualizar PRD escopo MoSCoW modelo e cronograma - estimativa preliminar</t>
        </is>
      </c>
    </row>
    <row r="114">
      <c r="A114" s="0">
        <v>113</v>
      </c>
      <c r="B114" s="0" t="inlineStr">
        <is>
          <t>Backend</t>
        </is>
      </c>
      <c r="C114" s="0" t="inlineStr">
        <is>
          <t>Jogos</t>
        </is>
      </c>
      <c r="D114" s="0" t="inlineStr">
        <is>
          <t>Implementar mecânica bilateral de adivinhação</t>
        </is>
      </c>
      <c r="E114" s="0" t="inlineStr">
        <is>
          <t>Fluxo integrado com inversão de papéis</t>
        </is>
      </c>
      <c r="F114" s="0" t="inlineStr">
        <is>
          <t>Alta</t>
        </is>
      </c>
      <c r="G114" s="0" t="inlineStr">
        <is>
          <t>112,35,52,111</t>
        </is>
      </c>
      <c r="H114" s="0" t="inlineStr">
        <is>
          <t>Liderança Técnica</t>
        </is>
      </c>
      <c r="I114" s="0" t="inlineStr">
        <is>
          <t>Não iniciado</t>
        </is>
      </c>
      <c r="J114" s="0">
        <v>24</v>
      </c>
      <c r="K114" s="0" t="inlineStr">
        <is>
          <t/>
        </is>
      </c>
      <c r="L114" s="0" t="inlineStr">
        <is>
          <t/>
        </is>
      </c>
      <c r="M114" s="3">
        <v>0</v>
      </c>
      <c r="N114" s="0" t="inlineStr">
        <is>
          <t>Já previsto no escopo MVP - execução condicionada à decisão 112 - incluir modelo de tentativas API interface e testes de autoria - estimativa preliminar</t>
        </is>
      </c>
    </row>
    <row r="115">
      <c r="A115" s="0">
        <v>114</v>
      </c>
      <c r="B115" s="0" t="inlineStr">
        <is>
          <t>Backend</t>
        </is>
      </c>
      <c r="C115" s="0" t="inlineStr">
        <is>
          <t>Jogos</t>
        </is>
      </c>
      <c r="D115" s="0" t="inlineStr">
        <is>
          <t>Implementar mecânica de escolhas coincidentes</t>
        </is>
      </c>
      <c r="E115" s="0" t="inlineStr">
        <is>
          <t>Fluxo de escolhas e fechamento</t>
        </is>
      </c>
      <c r="F115" s="0" t="inlineStr">
        <is>
          <t>Alta</t>
        </is>
      </c>
      <c r="G115" s="0" t="inlineStr">
        <is>
          <t>112,35,52,111</t>
        </is>
      </c>
      <c r="H115" s="0" t="inlineStr">
        <is>
          <t>Liderança Técnica</t>
        </is>
      </c>
      <c r="I115" s="0" t="inlineStr">
        <is>
          <t>Não iniciado</t>
        </is>
      </c>
      <c r="J115" s="0">
        <v>24</v>
      </c>
      <c r="K115" s="0" t="inlineStr">
        <is>
          <t/>
        </is>
      </c>
      <c r="L115" s="0" t="inlineStr">
        <is>
          <t/>
        </is>
      </c>
      <c r="M115" s="3">
        <v>0</v>
      </c>
      <c r="N115" s="0" t="inlineStr">
        <is>
          <t>Já previsto no escopo MVP - execução condicionada à decisão 112 - revelar somente coincidências e permitir outra ideia - incluir API interface e testes - estimativa preliminar</t>
        </is>
      </c>
    </row>
    <row r="116">
      <c r="A116" s="0">
        <v>115</v>
      </c>
      <c r="B116" s="0" t="inlineStr">
        <is>
          <t>Conteúdo</t>
        </is>
      </c>
      <c r="C116" s="0" t="inlineStr">
        <is>
          <t>Operação editorial</t>
        </is>
      </c>
      <c r="D116" s="0" t="inlineStr">
        <is>
          <t>Unificar fonte editorial e validar importação do catálogo</t>
        </is>
      </c>
      <c r="E116" s="0" t="inlineStr">
        <is>
          <t>Conteúdo versionado e validado</t>
        </is>
      </c>
      <c r="F116" s="0" t="inlineStr">
        <is>
          <t>Crítica</t>
        </is>
      </c>
      <c r="G116" s="0" t="inlineStr">
        <is>
          <t>108,110,112</t>
        </is>
      </c>
      <c r="H116" s="0" t="inlineStr">
        <is>
          <t>Pesquisa e Conteúdo</t>
        </is>
      </c>
      <c r="I116" s="0" t="inlineStr">
        <is>
          <t>Não iniciado</t>
        </is>
      </c>
      <c r="J116" s="0">
        <v>16</v>
      </c>
      <c r="K116" s="0" t="inlineStr">
        <is>
          <t/>
        </is>
      </c>
      <c r="L116" s="0" t="inlineStr">
        <is>
          <t/>
        </is>
      </c>
      <c r="M116" s="3">
        <v>0</v>
      </c>
      <c r="N116" s="0" t="inlineStr">
        <is>
          <t>IDs estáveis por atividade tema nível duração formato revisão e publicação - planilhas como visões sem duplicar contagem - validação de schema cobertura e referências - estimativa preliminar</t>
        </is>
      </c>
    </row>
    <row r="117">
      <c r="A117" s="0">
        <v>116</v>
      </c>
      <c r="B117" s="0" t="inlineStr">
        <is>
          <t>Frontend</t>
        </is>
      </c>
      <c r="C117" s="0" t="inlineStr">
        <is>
          <t>Sessões de jogo</t>
        </is>
      </c>
      <c r="D117" s="0" t="inlineStr">
        <is>
          <t>Integrar partidas remotas e retomada em duas contas</t>
        </is>
      </c>
      <c r="E117" s="0" t="inlineStr">
        <is>
          <t>Jornada bilateral integrada</t>
        </is>
      </c>
      <c r="F117" s="0" t="inlineStr">
        <is>
          <t>Crítica</t>
        </is>
      </c>
      <c r="G117" s="0" t="inlineStr">
        <is>
          <t>111,53,54,109</t>
        </is>
      </c>
      <c r="H117" s="0" t="inlineStr">
        <is>
          <t>Engenharia Frontend</t>
        </is>
      </c>
      <c r="I117" s="0" t="inlineStr">
        <is>
          <t>Não iniciado</t>
        </is>
      </c>
      <c r="J117" s="0">
        <v>24</v>
      </c>
      <c r="K117" s="0" t="inlineStr">
        <is>
          <t/>
        </is>
      </c>
      <c r="L117" s="0" t="inlineStr">
        <is>
          <t/>
        </is>
      </c>
      <c r="M117" s="3">
        <v>0</v>
      </c>
      <c r="N117" s="0" t="inlineStr">
        <is>
          <t>Distinguir jogo local e remoto - autoria por conta retomada estados de rede pulo e revelação em perguntas desafios e misto - sem confirmar pela outra pessoa - estimativa preliminar</t>
        </is>
      </c>
    </row>
    <row r="118">
      <c r="A118" s="0">
        <v>117</v>
      </c>
      <c r="B118" s="0" t="inlineStr">
        <is>
          <t>Frontend</t>
        </is>
      </c>
      <c r="C118" s="0" t="inlineStr">
        <is>
          <t>Feedback</t>
        </is>
      </c>
      <c r="D118" s="0" t="inlineStr">
        <is>
          <t>Coletar feedback opcional por atividade</t>
        </is>
      </c>
      <c r="E118" s="0" t="inlineStr">
        <is>
          <t>Sinais de relevância e desconforto</t>
        </is>
      </c>
      <c r="F118" s="0" t="inlineStr">
        <is>
          <t>Alta</t>
        </is>
      </c>
      <c r="G118" s="0" t="inlineStr">
        <is>
          <t>116,52</t>
        </is>
      </c>
      <c r="H118" s="0" t="inlineStr">
        <is>
          <t>Engenharia Frontend</t>
        </is>
      </c>
      <c r="I118" s="0" t="inlineStr">
        <is>
          <t>Não iniciado</t>
        </is>
      </c>
      <c r="J118" s="0">
        <v>12</v>
      </c>
      <c r="K118" s="0" t="inlineStr">
        <is>
          <t/>
        </is>
      </c>
      <c r="L118" s="0" t="inlineStr">
        <is>
          <t/>
        </is>
      </c>
      <c r="M118" s="3">
        <v>0</v>
      </c>
      <c r="N118" s="0" t="inlineStr">
        <is>
          <t>Previsto no piloto - feedback curto opcional sem expor respostas íntimas e triagem editorial agregada - retirada usa operação 52 e 59 - estimativa preliminar</t>
        </is>
      </c>
    </row>
    <row r="119">
      <c r="A119" s="0">
        <v>118</v>
      </c>
      <c r="B119" s="0" t="inlineStr">
        <is>
          <t>Infraestrutura</t>
        </is>
      </c>
      <c r="C119" s="0" t="inlineStr">
        <is>
          <t>Recuperação</t>
        </is>
      </c>
      <c r="D119" s="0" t="inlineStr">
        <is>
          <t>Ensaiar restauração de backup e retorno de migração</t>
        </is>
      </c>
      <c r="E119" s="0" t="inlineStr">
        <is>
          <t>Evidência de recuperação</t>
        </is>
      </c>
      <c r="F119" s="0" t="inlineStr">
        <is>
          <t>Crítica</t>
        </is>
      </c>
      <c r="G119" s="0" t="inlineStr">
        <is>
          <t>41,38</t>
        </is>
      </c>
      <c r="H119" s="0" t="inlineStr">
        <is>
          <t>DevOps/Plataforma</t>
        </is>
      </c>
      <c r="I119" s="0" t="inlineStr">
        <is>
          <t>Não iniciado</t>
        </is>
      </c>
      <c r="J119" s="0">
        <v>8</v>
      </c>
      <c r="K119" s="0" t="inlineStr">
        <is>
          <t/>
        </is>
      </c>
      <c r="L119" s="0" t="inlineStr">
        <is>
          <t/>
        </is>
      </c>
      <c r="M119" s="3">
        <v>0</v>
      </c>
      <c r="N119" s="0" t="inlineStr">
        <is>
          <t>Ensaiar em recurso isolado conforme docs/AMBIENTES.md - metas iniciais RPO 24h RTO 4h backup diário e antes de migração retenção 30 dias - medir recuperação conferir integridade invalidar sessões e reaplicar exclusões - estimativa preliminar</t>
        </is>
      </c>
    </row>
    <row r="120">
      <c r="A120" s="0">
        <v>119</v>
      </c>
      <c r="B120" s="0" t="inlineStr">
        <is>
          <t>Frontend</t>
        </is>
      </c>
      <c r="C120" s="0" t="inlineStr">
        <is>
          <t>PWA</t>
        </is>
      </c>
      <c r="D120" s="0" t="inlineStr">
        <is>
          <t>Configurar instalação PWA e política de cache</t>
        </is>
      </c>
      <c r="E120" s="0" t="inlineStr">
        <is>
          <t>Manifest instalação e offline seguro</t>
        </is>
      </c>
      <c r="F120" s="0" t="inlineStr">
        <is>
          <t>Alta</t>
        </is>
      </c>
      <c r="G120" s="0" t="inlineStr">
        <is>
          <t>38,60,73</t>
        </is>
      </c>
      <c r="H120" s="0" t="inlineStr">
        <is>
          <t>Engenharia Frontend</t>
        </is>
      </c>
      <c r="I120" s="0" t="inlineStr">
        <is>
          <t>Não iniciado</t>
        </is>
      </c>
      <c r="J120" s="0">
        <v>12</v>
      </c>
      <c r="K120" s="0" t="inlineStr">
        <is>
          <t/>
        </is>
      </c>
      <c r="L120" s="0" t="inlineStr">
        <is>
          <t/>
        </is>
      </c>
      <c r="M120" s="3">
        <v>0</v>
      </c>
      <c r="N120" s="0" t="inlineStr">
        <is>
          <t>Formato PWA previsto no MVP - definir shell público sem cache de respostas privadas e validar atualização saída da conta e experiência offline - estimativa preliminar</t>
        </is>
      </c>
    </row>
    <row r="121">
      <c r="A121" s="0">
        <v>120</v>
      </c>
      <c r="B121" s="0" t="inlineStr">
        <is>
          <t>Planejamento</t>
        </is>
      </c>
      <c r="C121" s="0" t="inlineStr">
        <is>
          <t>Qualidade do plano</t>
        </is>
      </c>
      <c r="D121" s="0" t="inlineStr">
        <is>
          <t>Revisar coerência geral entre acompanhamento e entregas</t>
        </is>
      </c>
      <c r="E121" s="0" t="inlineStr">
        <is>
          <t>Relatório e plano reconciliado</t>
        </is>
      </c>
      <c r="F121" s="0" t="inlineStr">
        <is>
          <t>Alta</t>
        </is>
      </c>
      <c r="G121" s="0" t="inlineStr">
        <is>
          <t>34,24,109,110</t>
        </is>
      </c>
      <c r="H121" s="0" t="inlineStr">
        <is>
          <t>Product Owner — Tatyele Lopes</t>
        </is>
      </c>
      <c r="I121" s="0" t="inlineStr">
        <is>
          <t>Concluído</t>
        </is>
      </c>
      <c r="J121" s="0">
        <v>6</v>
      </c>
      <c r="K121" s="0" t="inlineStr">
        <is>
          <t/>
        </is>
      </c>
      <c r="L121" s="0" t="inlineStr">
        <is>
          <t/>
        </is>
      </c>
      <c r="M121" s="3">
        <v>1</v>
      </c>
      <c r="N121" s="0" t="inlineStr">
        <is>
          <t>Revisão em docs/REVISAO-GERAL-2026-09-04.md - confronto Excel código e documentos build aprovado achados rastreados notas CSV corrigidas e validador scripts/validate-project-plan.ps1</t>
        </is>
      </c>
    </row>
    <row r="122">
      <c r="A122" s="0">
        <v>121</v>
      </c>
      <c r="B122" s="0" t="inlineStr">
        <is>
          <t>Jurídico</t>
        </is>
      </c>
      <c r="C122" s="0" t="inlineStr">
        <is>
          <t>Privacidade</t>
        </is>
      </c>
      <c r="D122" s="0" t="inlineStr">
        <is>
          <t>Elaborar RIPD e testes de balanceamento</t>
        </is>
      </c>
      <c r="E122" s="0" t="inlineStr">
        <is>
          <t>RIPD e LIAs aprovados</t>
        </is>
      </c>
      <c r="F122" s="0" t="inlineStr">
        <is>
          <t>Crítica</t>
        </is>
      </c>
      <c r="G122" s="0" t="inlineStr">
        <is>
          <t>36,37,112</t>
        </is>
      </c>
      <c r="H122" s="0" t="inlineStr">
        <is>
          <t>Privacidade/Jurídico</t>
        </is>
      </c>
      <c r="I122" s="0" t="inlineStr">
        <is>
          <t>Não iniciado</t>
        </is>
      </c>
      <c r="J122" s="0">
        <v>20</v>
      </c>
      <c r="K122" s="0" t="inlineStr">
        <is>
          <t/>
        </is>
      </c>
      <c r="L122" s="0" t="inlineStr">
        <is>
          <t/>
        </is>
      </c>
      <c r="M122" s="3">
        <v>0</v>
      </c>
      <c r="N122" s="0" t="inlineStr">
        <is>
          <t>Concluir DEC-06 e DEC-10 do inventário LGPD - LIA-01 segurança LIA-02 analytics necessidade proporcionalidade salvaguardas risco residual e aceite formal antes do piloto</t>
        </is>
      </c>
    </row>
    <row r="123">
      <c r="A123" s="0">
        <v>122</v>
      </c>
      <c r="B123" s="0" t="inlineStr">
        <is>
          <t>Jurídico</t>
        </is>
      </c>
      <c r="C123" s="0" t="inlineStr">
        <is>
          <t>Fornecedores</t>
        </is>
      </c>
      <c r="D123" s="0" t="inlineStr">
        <is>
          <t>Cadastrar operadores e transferências internacionais</t>
        </is>
      </c>
      <c r="E123" s="0" t="inlineStr">
        <is>
          <t>Registro de operadores e contratos</t>
        </is>
      </c>
      <c r="F123" s="0" t="inlineStr">
        <is>
          <t>Crítica</t>
        </is>
      </c>
      <c r="G123" s="0" t="inlineStr">
        <is>
          <t>37,38,42</t>
        </is>
      </c>
      <c r="H123" s="0" t="inlineStr">
        <is>
          <t>Privacidade/Jurídico</t>
        </is>
      </c>
      <c r="I123" s="0" t="inlineStr">
        <is>
          <t>Não iniciado</t>
        </is>
      </c>
      <c r="J123" s="0">
        <v>12</v>
      </c>
      <c r="K123" s="0" t="inlineStr">
        <is>
          <t/>
        </is>
      </c>
      <c r="L123" s="0" t="inlineStr">
        <is>
          <t/>
        </is>
      </c>
      <c r="M123" s="3">
        <v>0</v>
      </c>
      <c r="N123" s="0" t="inlineStr">
        <is>
          <t>Concluir DEC-05 do inventário LGPD - due diligence DPA suboperadores regiões retenção saída incidentes e mecanismo válido da Resolução CD/ANPD 19/2024 antes de dados reais</t>
        </is>
      </c>
    </row>
    <row r="124">
      <c r="A124" s="0">
        <v>123</v>
      </c>
      <c r="B124" s="0" t="inlineStr">
        <is>
          <t>Infraestrutura</t>
        </is>
      </c>
      <c r="C124" s="0" t="inlineStr">
        <is>
          <t>DevOps</t>
        </is>
      </c>
      <c r="D124" s="0" t="inlineStr">
        <is>
          <t>Provisionar homologação e validar configuração por ambiente</t>
        </is>
      </c>
      <c r="E124" s="0" t="inlineStr">
        <is>
          <t>Homologação isolada com evidências</t>
        </is>
      </c>
      <c r="F124" s="0" t="inlineStr">
        <is>
          <t>Alta</t>
        </is>
      </c>
      <c r="G124" s="0" t="inlineStr">
        <is>
          <t>16,38,40,41,42,43,122</t>
        </is>
      </c>
      <c r="H124" s="0" t="inlineStr">
        <is>
          <t>DevOps/Plataforma</t>
        </is>
      </c>
      <c r="I124" s="0" t="inlineStr">
        <is>
          <t>Não iniciado</t>
        </is>
      </c>
      <c r="J124" s="0">
        <v>16</v>
      </c>
      <c r="K124" s="0" t="inlineStr">
        <is>
          <t/>
        </is>
      </c>
      <c r="L124" s="0" t="inlineStr">
        <is>
          <t/>
        </is>
      </c>
      <c r="M124" s="3">
        <v>0</v>
      </c>
      <c r="N124" s="0" t="inlineStr">
        <is>
          <t>Implementar docs/AMBIENTES.md com HTTPS acesso restrito dados sintéticos API na mesma origem e isolamento de produção - validar APP_ENV APP_ORIGIN PORT e rejeitar JSON remoto - testar publicação e registrar provedor região custo e configuração sem segredos - estimativa preliminar</t>
        </is>
      </c>
    </row>
    <row r="125">
      <c r="A125" s="0">
        <v>124</v>
      </c>
      <c r="B125" s="0" t="inlineStr">
        <is>
          <t>MPV de teste</t>
        </is>
      </c>
      <c r="C125" s="0" t="inlineStr">
        <is>
          <t>Produto</t>
        </is>
      </c>
      <c r="D125" s="0" t="inlineStr">
        <is>
          <t>Definir hipótese e critérios de decisão do MPV</t>
        </is>
      </c>
      <c r="E125" s="0" t="inlineStr">
        <is>
          <t>Hipótese e métricas do MPV</t>
        </is>
      </c>
      <c r="F125" s="0" t="inlineStr">
        <is>
          <t>Crítica</t>
        </is>
      </c>
      <c r="G125" s="0" t="inlineStr">
        <is>
          <t/>
        </is>
      </c>
      <c r="H125" s="0" t="inlineStr">
        <is>
          <t>Product Owner — Tatyele Lopes</t>
        </is>
      </c>
      <c r="I125" s="0" t="inlineStr">
        <is>
          <t>Concluído</t>
        </is>
      </c>
      <c r="J125" s="0">
        <v>3</v>
      </c>
      <c r="K125" s="0" t="inlineStr">
        <is>
          <t>12/09/2026</t>
        </is>
      </c>
      <c r="L125" s="0" t="inlineStr">
        <is>
          <t>12/09/2026</t>
        </is>
      </c>
      <c r="M125" s="3">
        <v>1</v>
      </c>
      <c r="N125" s="0" t="inlineStr">
        <is>
          <t>Trilha adicional ao plano completo — validar se casais entendem e desejam repetir jogos curtos de conexão no mesmo celular — critérios em docs/ESCOPO-MPV.md</t>
        </is>
      </c>
    </row>
    <row r="126">
      <c r="A126" s="0">
        <v>125</v>
      </c>
      <c r="B126" s="0" t="inlineStr">
        <is>
          <t>MPV de teste</t>
        </is>
      </c>
      <c r="C126" s="0" t="inlineStr">
        <is>
          <t>Produto</t>
        </is>
      </c>
      <c r="D126" s="0" t="inlineStr">
        <is>
          <t>Congelar o escopo em dois jogos passa-e-joga</t>
        </is>
      </c>
      <c r="E126" s="0" t="inlineStr">
        <is>
          <t>Backlog mínimo aprovado</t>
        </is>
      </c>
      <c r="F126" s="0" t="inlineStr">
        <is>
          <t>Crítica</t>
        </is>
      </c>
      <c r="G126" s="0" t="inlineStr">
        <is>
          <t>124</t>
        </is>
      </c>
      <c r="H126" s="0" t="inlineStr">
        <is>
          <t>Product Owner — Tatyele Lopes</t>
        </is>
      </c>
      <c r="I126" s="0" t="inlineStr">
        <is>
          <t>Concluído</t>
        </is>
      </c>
      <c r="J126" s="0">
        <v>3</v>
      </c>
      <c r="K126" s="0" t="inlineStr">
        <is>
          <t>12/09/2026</t>
        </is>
      </c>
      <c r="L126" s="0" t="inlineStr">
        <is>
          <t>12/09/2026</t>
        </is>
      </c>
      <c r="M126" s="3">
        <v>1</v>
      </c>
      <c r="N126" s="0" t="inlineStr">
        <is>
          <t>Somente Descoberta a Dois e Adivinhe de Mim — sem pesquisa prévia cadastro pareamento remoto backend ou testes de personalidade neste teste</t>
        </is>
      </c>
    </row>
    <row r="127">
      <c r="A127" s="0">
        <v>126</v>
      </c>
      <c r="B127" s="0" t="inlineStr">
        <is>
          <t>MPV de teste</t>
        </is>
      </c>
      <c r="C127" s="0" t="inlineStr">
        <is>
          <t>UX</t>
        </is>
      </c>
      <c r="D127" s="0" t="inlineStr">
        <is>
          <t>Simplificar a jornada para entrada escolha jogo rodada e feedback</t>
        </is>
      </c>
      <c r="E127" s="0" t="inlineStr">
        <is>
          <t>Fluxo do MPV</t>
        </is>
      </c>
      <c r="F127" s="0" t="inlineStr">
        <is>
          <t>Crítica</t>
        </is>
      </c>
      <c r="G127" s="0" t="inlineStr">
        <is>
          <t>125</t>
        </is>
      </c>
      <c r="H127" s="0" t="inlineStr">
        <is>
          <t>Product Designer</t>
        </is>
      </c>
      <c r="I127" s="0" t="inlineStr">
        <is>
          <t>Concluído</t>
        </is>
      </c>
      <c r="J127" s="0">
        <v>4</v>
      </c>
      <c r="K127" s="0" t="inlineStr">
        <is>
          <t>13/09/2026</t>
        </is>
      </c>
      <c r="L127" s="0" t="inlineStr">
        <is>
          <t>14/09/2026</t>
        </is>
      </c>
      <c r="M127" s="3">
        <v>1</v>
      </c>
      <c r="N127" s="0" t="inlineStr">
        <is>
          <t>Fluxo aprovado em docs/FLUXO-MPV.md com seis estados entrada direta dois jogos de três rodadas três sinais e sugestão opcional exceções e critérios de aceite — atualizado em 16/09/2026</t>
        </is>
      </c>
    </row>
    <row r="128">
      <c r="A128" s="0">
        <v>127</v>
      </c>
      <c r="B128" s="0" t="inlineStr">
        <is>
          <t>MPV de teste</t>
        </is>
      </c>
      <c r="C128" s="0" t="inlineStr">
        <is>
          <t>Editorial</t>
        </is>
      </c>
      <c r="D128" s="0" t="inlineStr">
        <is>
          <t>Selecionar doze cartas leves para os dois jogos</t>
        </is>
      </c>
      <c r="E128" s="0" t="inlineStr">
        <is>
          <t>Lote mínimo de conteúdo</t>
        </is>
      </c>
      <c r="F128" s="0" t="inlineStr">
        <is>
          <t>Alta</t>
        </is>
      </c>
      <c r="G128" s="0" t="inlineStr">
        <is>
          <t>125</t>
        </is>
      </c>
      <c r="H128" s="0" t="inlineStr">
        <is>
          <t>Conteúdo</t>
        </is>
      </c>
      <c r="I128" s="0" t="inlineStr">
        <is>
          <t>Concluído</t>
        </is>
      </c>
      <c r="J128" s="0">
        <v>4</v>
      </c>
      <c r="K128" s="0" t="inlineStr">
        <is>
          <t>13/09/2026</t>
        </is>
      </c>
      <c r="L128" s="0" t="inlineStr">
        <is>
          <t>14/09/2026</t>
        </is>
      </c>
      <c r="M128" s="3">
        <v>1</v>
      </c>
      <c r="N128" s="0" t="inlineStr">
        <is>
          <t>Lote aprovado em docs/CONTEUDO-MPV.md e src/features/game/mpv-cards.json — seis cartas por jogo com IDs únicos origem rastreável e quatro alternativas por carta de adivinhação — concluído antecipadamente em 12/09/2026</t>
        </is>
      </c>
    </row>
    <row r="129">
      <c r="A129" s="0">
        <v>128</v>
      </c>
      <c r="B129" s="0" t="inlineStr">
        <is>
          <t>MPV de teste</t>
        </is>
      </c>
      <c r="C129" s="0" t="inlineStr">
        <is>
          <t>Frontend</t>
        </is>
      </c>
      <c r="D129" s="0" t="inlineStr">
        <is>
          <t>Criar entrada direta e seleção entre os dois jogos</t>
        </is>
      </c>
      <c r="E129" s="0" t="inlineStr">
        <is>
          <t>Tela inicial funcional</t>
        </is>
      </c>
      <c r="F129" s="0" t="inlineStr">
        <is>
          <t>Crítica</t>
        </is>
      </c>
      <c r="G129" s="0" t="inlineStr">
        <is>
          <t>126</t>
        </is>
      </c>
      <c r="H129" s="0" t="inlineStr">
        <is>
          <t>Engenharia Frontend</t>
        </is>
      </c>
      <c r="I129" s="0" t="inlineStr">
        <is>
          <t>Concluído</t>
        </is>
      </c>
      <c r="J129" s="0">
        <v>5</v>
      </c>
      <c r="K129" s="0" t="inlineStr">
        <is>
          <t>15/09/2026</t>
        </is>
      </c>
      <c r="L129" s="0" t="inlineStr">
        <is>
          <t>15/09/2026</t>
        </is>
      </c>
      <c r="M129" s="3">
        <v>1</v>
      </c>
      <c r="N129" s="0" t="inlineStr">
        <is>
          <t>Entrada direta responsiva com seleção e instruções dos dois jogos implementada sem cadastro ou pareamento, com apresentação neutra sem o nome do aplicativo em título metadados cabeçalho ou rodapé e com o aplicativo completo preservado em src/App.tsx — atualizado em 14/09/2026</t>
        </is>
      </c>
    </row>
    <row r="130">
      <c r="A130" s="0">
        <v>129</v>
      </c>
      <c r="B130" s="0" t="inlineStr">
        <is>
          <t>MPV de teste</t>
        </is>
      </c>
      <c r="C130" s="0" t="inlineStr">
        <is>
          <t>Jogo 1</t>
        </is>
      </c>
      <c r="D130" s="0" t="inlineStr">
        <is>
          <t>Implementar Descoberta a Dois</t>
        </is>
      </c>
      <c r="E130" s="0" t="inlineStr">
        <is>
          <t>Jogo 1 funcional</t>
        </is>
      </c>
      <c r="F130" s="0" t="inlineStr">
        <is>
          <t>Crítica</t>
        </is>
      </c>
      <c r="G130" s="0" t="inlineStr">
        <is>
          <t>127,128</t>
        </is>
      </c>
      <c r="H130" s="0" t="inlineStr">
        <is>
          <t>Engenharia Frontend</t>
        </is>
      </c>
      <c r="I130" s="0" t="inlineStr">
        <is>
          <t>Concluído</t>
        </is>
      </c>
      <c r="J130" s="0">
        <v>8</v>
      </c>
      <c r="K130" s="0" t="inlineStr">
        <is>
          <t>16/09/2026</t>
        </is>
      </c>
      <c r="L130" s="0" t="inlineStr">
        <is>
          <t>17/09/2026</t>
        </is>
      </c>
      <c r="M130" s="3">
        <v>1</v>
      </c>
      <c r="N130" s="0" t="inlineStr">
        <is>
          <t>Fluxo responsivo implementado com três perguntas únicas sorteadas, orientação para respostas em voz alta, avanço, opção de pular, progresso e encerramento sem armazenar respostas — concluído antecipadamente em 12/09/2026</t>
        </is>
      </c>
    </row>
    <row r="131">
      <c r="A131" s="0">
        <v>130</v>
      </c>
      <c r="B131" s="0" t="inlineStr">
        <is>
          <t>MPV de teste</t>
        </is>
      </c>
      <c r="C131" s="0" t="inlineStr">
        <is>
          <t>Jogo 2</t>
        </is>
      </c>
      <c r="D131" s="0" t="inlineStr">
        <is>
          <t>Implementar Adivinhe de Mim</t>
        </is>
      </c>
      <c r="E131" s="0" t="inlineStr">
        <is>
          <t>Jogo 2 funcional</t>
        </is>
      </c>
      <c r="F131" s="0" t="inlineStr">
        <is>
          <t>Crítica</t>
        </is>
      </c>
      <c r="G131" s="0" t="inlineStr">
        <is>
          <t>127,128</t>
        </is>
      </c>
      <c r="H131" s="0" t="inlineStr">
        <is>
          <t>Engenharia Frontend</t>
        </is>
      </c>
      <c r="I131" s="0" t="inlineStr">
        <is>
          <t>Concluído</t>
        </is>
      </c>
      <c r="J131" s="0">
        <v>10</v>
      </c>
      <c r="K131" s="0" t="inlineStr">
        <is>
          <t>16/09/2026</t>
        </is>
      </c>
      <c r="L131" s="0" t="inlineStr">
        <is>
          <t>18/09/2026</t>
        </is>
      </c>
      <c r="M131" s="3">
        <v>1</v>
      </c>
      <c r="N131" s="0" t="inlineStr">
        <is>
          <t>Fluxo responsivo implementado com três cartas únicas, escolha secreta, passagem protegida do aparelho, palpite, revelação, contagem de acertos e alternância automática de papéis sem armazenar respostas — concluído antecipadamente em 12/09/2026</t>
        </is>
      </c>
    </row>
    <row r="132">
      <c r="A132" s="0">
        <v>131</v>
      </c>
      <c r="B132" s="0" t="inlineStr">
        <is>
          <t>MPV de teste</t>
        </is>
      </c>
      <c r="C132" s="0" t="inlineStr">
        <is>
          <t>Feedback</t>
        </is>
      </c>
      <c r="D132" s="0" t="inlineStr">
        <is>
          <t>Adicionar fechamento e feedback de três sinais</t>
        </is>
      </c>
      <c r="E132" s="0" t="inlineStr">
        <is>
          <t>Feedback funcional</t>
        </is>
      </c>
      <c r="F132" s="0" t="inlineStr">
        <is>
          <t>Alta</t>
        </is>
      </c>
      <c r="G132" s="0" t="inlineStr">
        <is>
          <t>129,130</t>
        </is>
      </c>
      <c r="H132" s="0" t="inlineStr">
        <is>
          <t>Engenharia Frontend</t>
        </is>
      </c>
      <c r="I132" s="0" t="inlineStr">
        <is>
          <t>Concluído</t>
        </is>
      </c>
      <c r="J132" s="0">
        <v>4</v>
      </c>
      <c r="K132" s="0" t="inlineStr">
        <is>
          <t>19/09/2026</t>
        </is>
      </c>
      <c r="L132" s="0" t="inlineStr">
        <is>
          <t>19/09/2026</t>
        </is>
      </c>
      <c r="M132" s="3">
        <v>1</v>
      </c>
      <c r="N132" s="0" t="inlineStr">
        <is>
          <t>Feedback binário compartilhado implementado nos dois jogos e integrado ao registro central do jogo concluído clareza descoberta ou conexão e intenção de jogar novamente sem conteúdo das rodadas — concluído antecipadamente em 12/09/2026 e integrado em 16/09/2026</t>
        </is>
      </c>
    </row>
    <row r="133">
      <c r="A133" s="0">
        <v>132</v>
      </c>
      <c r="B133" s="0" t="inlineStr">
        <is>
          <t>MPV de teste</t>
        </is>
      </c>
      <c r="C133" s="0" t="inlineStr">
        <is>
          <t>Compatibilidade</t>
        </is>
      </c>
      <c r="D133" s="0" t="inlineStr">
        <is>
          <t>Validar fluxo crítico em celulares</t>
        </is>
      </c>
      <c r="E133" s="0" t="inlineStr">
        <is>
          <t>Checklist mobile aprovado</t>
        </is>
      </c>
      <c r="F133" s="0" t="inlineStr">
        <is>
          <t>Crítica</t>
        </is>
      </c>
      <c r="G133" s="0" t="inlineStr">
        <is>
          <t>128-131</t>
        </is>
      </c>
      <c r="H133" s="0" t="inlineStr">
        <is>
          <t>Qualidade</t>
        </is>
      </c>
      <c r="I133" s="0" t="inlineStr">
        <is>
          <t>Concluído</t>
        </is>
      </c>
      <c r="J133" s="0">
        <v>5</v>
      </c>
      <c r="K133" s="0" t="inlineStr">
        <is>
          <t>16/09/2026</t>
        </is>
      </c>
      <c r="L133" s="0" t="inlineStr">
        <is>
          <t>16/09/2026</t>
        </is>
      </c>
      <c r="M133" s="3">
        <v>1</v>
      </c>
      <c r="N133" s="0" t="inlineStr">
        <is>
          <t>Aprovado com ressalva para o escopo controlado no Chrome após passagem física confirmada pela Product Owner feedback real com três sinais positivos saúde exportação persistência dois jogos e 95 estados móveis revalidados — registro técnico removido e base vazia — modelo sistema e versão não informados — Safari adiado por decisão da Product Owner e explicitamente não validado</t>
        </is>
      </c>
    </row>
    <row r="134">
      <c r="A134" s="0">
        <v>133</v>
      </c>
      <c r="B134" s="0" t="inlineStr">
        <is>
          <t>MPV de teste</t>
        </is>
      </c>
      <c r="C134" s="0" t="inlineStr">
        <is>
          <t>Acessibilidade</t>
        </is>
      </c>
      <c r="D134" s="0" t="inlineStr">
        <is>
          <t>Corrigir barreiras críticas de uso</t>
        </is>
      </c>
      <c r="E134" s="0" t="inlineStr">
        <is>
          <t>Checklist de acessibilidade</t>
        </is>
      </c>
      <c r="F134" s="0" t="inlineStr">
        <is>
          <t>Alta</t>
        </is>
      </c>
      <c r="G134" s="0" t="inlineStr">
        <is>
          <t>128-131</t>
        </is>
      </c>
      <c r="H134" s="0" t="inlineStr">
        <is>
          <t>Qualidade</t>
        </is>
      </c>
      <c r="I134" s="0" t="inlineStr">
        <is>
          <t>Em andamento</t>
        </is>
      </c>
      <c r="J134" s="0">
        <v>4</v>
      </c>
      <c r="K134" s="0" t="inlineStr">
        <is>
          <t>20/09/2026</t>
        </is>
      </c>
      <c r="L134" s="0" t="inlineStr">
        <is>
          <t>21/09/2026</t>
        </is>
      </c>
      <c r="M134" s="3">
        <v>0.5</v>
      </c>
      <c r="N134" s="0" t="inlineStr">
        <is>
          <t>MOB-03 resolvido em 14/09/2026 com todos os alvos visíveis em pelo menos 44 px e nomes acessíveis aprovados na matriz móvel — pendentes validações formais de foco contraste e redução de movimento</t>
        </is>
      </c>
    </row>
    <row r="135">
      <c r="A135" s="0">
        <v>134</v>
      </c>
      <c r="B135" s="0" t="inlineStr">
        <is>
          <t>MPV de teste</t>
        </is>
      </c>
      <c r="C135" s="0" t="inlineStr">
        <is>
          <t>Qualidade</t>
        </is>
      </c>
      <c r="D135" s="0" t="inlineStr">
        <is>
          <t>Executar QA do caminho feliz e falhas básicas</t>
        </is>
      </c>
      <c r="E135" s="0" t="inlineStr">
        <is>
          <t>MPV candidato à validação</t>
        </is>
      </c>
      <c r="F135" s="0" t="inlineStr">
        <is>
          <t>Crítica</t>
        </is>
      </c>
      <c r="G135" s="0" t="inlineStr">
        <is>
          <t>132,133,138,139</t>
        </is>
      </c>
      <c r="H135" s="0" t="inlineStr">
        <is>
          <t>Qualidade</t>
        </is>
      </c>
      <c r="I135" s="0" t="inlineStr">
        <is>
          <t>Em andamento</t>
        </is>
      </c>
      <c r="J135" s="0">
        <v>5</v>
      </c>
      <c r="K135" s="0" t="inlineStr">
        <is>
          <t>16/09/2026</t>
        </is>
      </c>
      <c r="L135" s="0" t="inlineStr">
        <is>
          <t>21/09/2026</t>
        </is>
      </c>
      <c r="M135" s="3">
        <v>0.5</v>
      </c>
      <c r="N135" s="0" t="inlineStr">
        <is>
          <t>API serviço integrado e matriz móvel revalidados com sucesso em 16/09/2026 após a passagem física no Chrome — pendem concluir as verificações formais de acessibilidade da tarefa 133 e registrar o aceite final — Safari permanece fora da cobertura atual</t>
        </is>
      </c>
    </row>
    <row r="136">
      <c r="A136" s="0">
        <v>135</v>
      </c>
      <c r="B136" s="0" t="inlineStr">
        <is>
          <t>MPV de teste</t>
        </is>
      </c>
      <c r="C136" s="0" t="inlineStr">
        <is>
          <t>Operação</t>
        </is>
      </c>
      <c r="D136" s="0" t="inlineStr">
        <is>
          <t>Disponibilizar demonstração controlada</t>
        </is>
      </c>
      <c r="E136" s="0" t="inlineStr">
        <is>
          <t>Link de demonstração</t>
        </is>
      </c>
      <c r="F136" s="0" t="inlineStr">
        <is>
          <t>Crítica</t>
        </is>
      </c>
      <c r="G136" s="0" t="inlineStr">
        <is>
          <t>134</t>
        </is>
      </c>
      <c r="H136" s="0" t="inlineStr">
        <is>
          <t>Engenharia Frontend</t>
        </is>
      </c>
      <c r="I136" s="0" t="inlineStr">
        <is>
          <t>Concluído</t>
        </is>
      </c>
      <c r="J136" s="0">
        <v>4</v>
      </c>
      <c r="K136" s="0" t="inlineStr">
        <is>
          <t>16/09/2026</t>
        </is>
      </c>
      <c r="L136" s="0" t="inlineStr">
        <is>
          <t>16/09/2026</t>
        </is>
      </c>
      <c r="M136" s="3">
        <v>1</v>
      </c>
      <c r="N136" s="0" t="inlineStr">
        <is>
          <t>Demonstração HTTPS publicada no Render gratuito com Web Service PostgreSQL de 1 GB sonda de saúde CORS restrito bloqueio de indexação e segredo operacional — envio persistência exportação e passagem física no Chrome validados base técnica limpa e banco expira em 16/10/2026 sem backup — Safari permanece fora da cobertura atual</t>
        </is>
      </c>
    </row>
    <row r="137">
      <c r="A137" s="0">
        <v>136</v>
      </c>
      <c r="B137" s="0" t="inlineStr">
        <is>
          <t>MPV de teste</t>
        </is>
      </c>
      <c r="C137" s="0" t="inlineStr">
        <is>
          <t>Validação</t>
        </is>
      </c>
      <c r="D137" s="0" t="inlineStr">
        <is>
          <t>Validar o formato com cinco casais</t>
        </is>
      </c>
      <c r="E137" s="0" t="inlineStr">
        <is>
          <t>Placar dos critérios de decisão</t>
        </is>
      </c>
      <c r="F137" s="0" t="inlineStr">
        <is>
          <t>Crítica</t>
        </is>
      </c>
      <c r="G137" s="0" t="inlineStr">
        <is>
          <t>135</t>
        </is>
      </c>
      <c r="H137" s="0" t="inlineStr">
        <is>
          <t>Product Owner — Tatyele Lopes</t>
        </is>
      </c>
      <c r="I137" s="0" t="inlineStr">
        <is>
          <t>Não iniciado</t>
        </is>
      </c>
      <c r="J137" s="0">
        <v>8</v>
      </c>
      <c r="K137" s="0" t="inlineStr">
        <is>
          <t>23/09/2026</t>
        </is>
      </c>
      <c r="L137" s="0" t="inlineStr">
        <is>
          <t>27/09/2026</t>
        </is>
      </c>
      <c r="M137" s="3">
        <v>0</v>
      </c>
      <c r="N137" s="0" t="inlineStr">
        <is>
          <t>Cada casal joga sem mediação e envia os três sinais do produto com sugestão de melhoria opcional — não há entrevistas nem etapa de pesquisa dentro do MPV</t>
        </is>
      </c>
    </row>
    <row r="138">
      <c r="A138" s="0">
        <v>137</v>
      </c>
      <c r="B138" s="0" t="inlineStr">
        <is>
          <t>MPV de teste</t>
        </is>
      </c>
      <c r="C138" s="0" t="inlineStr">
        <is>
          <t>Produto</t>
        </is>
      </c>
      <c r="D138" s="0" t="inlineStr">
        <is>
          <t>Incorporar aprendizados ao plano inicial do aplicativo</t>
        </is>
      </c>
      <c r="E138" s="0" t="inlineStr">
        <is>
          <t>Decisão e recomendações registradas</t>
        </is>
      </c>
      <c r="F138" s="0" t="inlineStr">
        <is>
          <t>Crítica</t>
        </is>
      </c>
      <c r="G138" s="0" t="inlineStr">
        <is>
          <t>136</t>
        </is>
      </c>
      <c r="H138" s="0" t="inlineStr">
        <is>
          <t>Product Owner — Tatyele Lopes</t>
        </is>
      </c>
      <c r="I138" s="0" t="inlineStr">
        <is>
          <t>Não iniciado</t>
        </is>
      </c>
      <c r="J138" s="0">
        <v>3</v>
      </c>
      <c r="K138" s="0" t="inlineStr">
        <is>
          <t>28/09/2026</t>
        </is>
      </c>
      <c r="L138" s="0" t="inlineStr">
        <is>
          <t>28/09/2026</t>
        </is>
      </c>
      <c r="M138" s="3">
        <v>0</v>
      </c>
      <c r="N138" s="0" t="inlineStr">
        <is>
          <t>Registrar continuar ajustar ou encerrar o formato e quais evidências devem orientar a futura revisão do plano completo sem alterá-lo automaticamente</t>
        </is>
      </c>
    </row>
    <row r="139">
      <c r="A139" s="0">
        <v>138</v>
      </c>
      <c r="B139" s="0" t="inlineStr">
        <is>
          <t>MPV de teste</t>
        </is>
      </c>
      <c r="C139" s="0" t="inlineStr">
        <is>
          <t>Feedback</t>
        </is>
      </c>
      <c r="D139" s="0" t="inlineStr">
        <is>
          <t>Adicionar sugestões abertas opcionais ao feedback</t>
        </is>
      </c>
      <c r="E139" s="0" t="inlineStr">
        <is>
          <t>Campo de sugestões funcional</t>
        </is>
      </c>
      <c r="F139" s="0" t="inlineStr">
        <is>
          <t>Alta</t>
        </is>
      </c>
      <c r="G139" s="0" t="inlineStr">
        <is>
          <t>131</t>
        </is>
      </c>
      <c r="H139" s="0" t="inlineStr">
        <is>
          <t>Engenharia Frontend</t>
        </is>
      </c>
      <c r="I139" s="0" t="inlineStr">
        <is>
          <t>Concluído</t>
        </is>
      </c>
      <c r="J139" s="0">
        <v>3</v>
      </c>
      <c r="K139" s="0" t="inlineStr">
        <is>
          <t>16/09/2026</t>
        </is>
      </c>
      <c r="L139" s="0" t="inlineStr">
        <is>
          <t>16/09/2026</t>
        </is>
      </c>
      <c r="M139" s="3">
        <v>1</v>
      </c>
      <c r="N139" s="0" t="inlineStr">
        <is>
          <t>Campo opcional de até 500 caracteres implementado com orientação para não inserir dados pessoais e cobertura na matriz móvel — concluído em 16/09/2026</t>
        </is>
      </c>
    </row>
    <row r="140">
      <c r="A140" s="0">
        <v>139</v>
      </c>
      <c r="B140" s="0" t="inlineStr">
        <is>
          <t>MPV de teste</t>
        </is>
      </c>
      <c r="C140" s="0" t="inlineStr">
        <is>
          <t>Backend</t>
        </is>
      </c>
      <c r="D140" s="0" t="inlineStr">
        <is>
          <t>Centralizar feedback e disponibilizar exportação controlada</t>
        </is>
      </c>
      <c r="E140" s="0" t="inlineStr">
        <is>
          <t>API e CSV protegidos</t>
        </is>
      </c>
      <c r="F140" s="0" t="inlineStr">
        <is>
          <t>Crítica</t>
        </is>
      </c>
      <c r="G140" s="0" t="inlineStr">
        <is>
          <t>138</t>
        </is>
      </c>
      <c r="H140" s="0" t="inlineStr">
        <is>
          <t>Engenharia Backend</t>
        </is>
      </c>
      <c r="I140" s="0" t="inlineStr">
        <is>
          <t>Concluído</t>
        </is>
      </c>
      <c r="J140" s="0">
        <v>6</v>
      </c>
      <c r="K140" s="0" t="inlineStr">
        <is>
          <t>16/09/2026</t>
        </is>
      </c>
      <c r="L140" s="0" t="inlineStr">
        <is>
          <t>16/09/2026</t>
        </is>
      </c>
      <c r="M140" s="3">
        <v>1</v>
      </c>
      <c r="N140" s="0" t="inlineStr">
        <is>
          <t>POST anônimo com validação idempotência controle de origem rate limit armazenamento PostgreSQL remoto com fallback JSON local e exportação CSV protegida por token — concluído em 16/09/2026</t>
        </is>
      </c>
    </row>
  </sheetData>
  <autoFilter ref="A1:N140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8" customWidth="1"/>
    <col min="3" max="3" width="14" customWidth="1"/>
    <col min="4" max="4" width="18" customWidth="1"/>
    <col min="5" max="5" width="55" customWidth="1"/>
    <col min="6" max="6" width="18" customWidth="1"/>
    <col min="7" max="7" width="18" customWidth="1"/>
  </cols>
  <sheetData>
    <row r="1">
      <c r="A1" s="1" t="inlineStr">
        <is>
          <t>ID</t>
        </is>
      </c>
      <c r="B1" s="1" t="inlineStr">
        <is>
          <t>Marco</t>
        </is>
      </c>
      <c r="C1" s="1" t="inlineStr">
        <is>
          <t>Tarefas até</t>
        </is>
      </c>
      <c r="D1" s="1" t="inlineStr">
        <is>
          <t>Status</t>
        </is>
      </c>
      <c r="E1" s="1" t="inlineStr">
        <is>
          <t>Critério de aceite</t>
        </is>
      </c>
      <c r="F1" s="1" t="inlineStr">
        <is>
          <t>Data planejada</t>
        </is>
      </c>
      <c r="G1" s="1" t="inlineStr">
        <is>
          <t>Data real</t>
        </is>
      </c>
    </row>
    <row r="2">
      <c r="A2" s="0" t="inlineStr">
        <is>
          <t>MPV1</t>
        </is>
      </c>
      <c r="B2" s="0" t="inlineStr">
        <is>
          <t>Escopo e fluxo do teste aprovados</t>
        </is>
      </c>
      <c r="C2" s="0">
        <v>126</v>
      </c>
      <c r="D2" s="0" t="inlineStr">
        <is>
          <t>Concluído</t>
        </is>
      </c>
      <c r="E2" s="0" t="inlineStr">
        <is>
          <t>Dois jogos um aparelho critérios de decisão e fluxo documentados</t>
        </is>
      </c>
      <c r="F2" s="0" t="inlineStr">
        <is>
          <t>12/09/2026</t>
        </is>
      </c>
      <c r="G2" s="0" t="inlineStr">
        <is>
          <t/>
        </is>
      </c>
    </row>
    <row r="3">
      <c r="A3" s="0" t="inlineStr">
        <is>
          <t>MPV2</t>
        </is>
      </c>
      <c r="B3" s="0" t="inlineStr">
        <is>
          <t>Dois jogos jogáveis</t>
        </is>
      </c>
      <c r="C3" s="0">
        <v>131</v>
      </c>
      <c r="D3" s="0" t="inlineStr">
        <is>
          <t>Concluído</t>
        </is>
      </c>
      <c r="E3" s="0" t="inlineStr">
        <is>
          <t>Jornadas completas com lote mínimo e feedback no produto</t>
        </is>
      </c>
      <c r="F3" s="0" t="inlineStr">
        <is>
          <t>19/09/2026</t>
        </is>
      </c>
      <c r="G3" s="0" t="inlineStr">
        <is>
          <t/>
        </is>
      </c>
    </row>
    <row r="4">
      <c r="A4" s="0" t="inlineStr">
        <is>
          <t>MPV3</t>
        </is>
      </c>
      <c r="B4" s="0" t="inlineStr">
        <is>
          <t>Demonstração do teste pronta</t>
        </is>
      </c>
      <c r="C4" s="0">
        <v>135</v>
      </c>
      <c r="D4" s="0" t="inlineStr">
        <is>
          <t>Em andamento</t>
        </is>
      </c>
      <c r="E4" s="0" t="inlineStr">
        <is>
          <t>Link controlado disponível e QA em curso com aceite físico restrito ao Chrome</t>
        </is>
      </c>
      <c r="F4" s="0" t="inlineStr">
        <is>
          <t>22/09/2026</t>
        </is>
      </c>
      <c r="G4" s="0" t="inlineStr">
        <is>
          <t/>
        </is>
      </c>
    </row>
    <row r="5">
      <c r="A5" s="0" t="inlineStr">
        <is>
          <t>MPV4</t>
        </is>
      </c>
      <c r="B5" s="0" t="inlineStr">
        <is>
          <t>Aprendizados incorporados</t>
        </is>
      </c>
      <c r="C5" s="0">
        <v>137</v>
      </c>
      <c r="D5" s="0" t="inlineStr">
        <is>
          <t>Não iniciado</t>
        </is>
      </c>
      <c r="E5" s="0" t="inlineStr">
        <is>
          <t>Sinais de cinco casais registrados como insumo para revisão futura do plano completo</t>
        </is>
      </c>
      <c r="F5" s="0" t="inlineStr">
        <is>
          <t>28/09/2026</t>
        </is>
      </c>
      <c r="G5" s="0" t="inlineStr">
        <is>
          <t/>
        </is>
      </c>
    </row>
    <row r="6">
      <c r="A6" s="0" t="inlineStr">
        <is>
          <t>MC1</t>
        </is>
      </c>
      <c r="B6" s="0" t="inlineStr">
        <is>
          <t>Baseline aprovada</t>
        </is>
      </c>
      <c r="C6" s="0">
        <v>13</v>
      </c>
      <c r="D6" s="0" t="inlineStr">
        <is>
          <t>Em andamento</t>
        </is>
      </c>
      <c r="E6" s="0" t="inlineStr">
        <is>
          <t>PRD escopo MoSCoW papéis e pesquisa aprovados</t>
        </is>
      </c>
      <c r="F6" s="0" t="inlineStr">
        <is>
          <t>18/09/2026</t>
        </is>
      </c>
      <c r="G6" s="0" t="inlineStr">
        <is>
          <t/>
        </is>
      </c>
    </row>
    <row r="7">
      <c r="A7" s="0" t="inlineStr">
        <is>
          <t>MC2</t>
        </is>
      </c>
      <c r="B7" s="0" t="inlineStr">
        <is>
          <t>Personas e oportunidades validadas</t>
        </is>
      </c>
      <c r="C7" s="0">
        <v>4</v>
      </c>
      <c r="D7" s="0" t="inlineStr">
        <is>
          <t>Em andamento</t>
        </is>
      </c>
      <c r="E7" s="0" t="inlineStr">
        <is>
          <t>24 entrevistas analisadas e personas revisadas</t>
        </is>
      </c>
      <c r="F7" s="0" t="inlineStr">
        <is>
          <t>02/10/2026</t>
        </is>
      </c>
      <c r="G7" s="0" t="inlineStr">
        <is>
          <t/>
        </is>
      </c>
    </row>
    <row r="8">
      <c r="A8" s="0" t="inlineStr">
        <is>
          <t>MC3</t>
        </is>
      </c>
      <c r="B8" s="0" t="inlineStr">
        <is>
          <t>Mecânicas e padrão editorial aprovados</t>
        </is>
      </c>
      <c r="C8" s="0">
        <v>31</v>
      </c>
      <c r="D8" s="0" t="inlineStr">
        <is>
          <t>Não iniciado</t>
        </is>
      </c>
      <c r="E8" s="0" t="inlineStr">
        <is>
          <t>Três protótipos testados e primeiro lote revisado</t>
        </is>
      </c>
      <c r="F8" s="0" t="inlineStr">
        <is>
          <t>16/10/2026</t>
        </is>
      </c>
      <c r="G8" s="0" t="inlineStr">
        <is>
          <t/>
        </is>
      </c>
    </row>
    <row r="9">
      <c r="A9" s="0" t="inlineStr">
        <is>
          <t>MC4</t>
        </is>
      </c>
      <c r="B9" s="0" t="inlineStr">
        <is>
          <t>Fundação técnica pronta</t>
        </is>
      </c>
      <c r="C9" s="0">
        <v>123</v>
      </c>
      <c r="D9" s="0" t="inlineStr">
        <is>
          <t>Em andamento</t>
        </is>
      </c>
      <c r="E9" s="0" t="inlineStr">
        <is>
          <t>PostgreSQL CI segredos observabilidade recuperação 118 e homologação operacional 123 conforme estratégia 38</t>
        </is>
      </c>
      <c r="F9" s="0" t="inlineStr">
        <is>
          <t>23/10/2026</t>
        </is>
      </c>
      <c r="G9" s="0" t="inlineStr">
        <is>
          <t/>
        </is>
      </c>
    </row>
    <row r="10">
      <c r="A10" s="0" t="inlineStr">
        <is>
          <t>MC5</t>
        </is>
      </c>
      <c r="B10" s="0" t="inlineStr">
        <is>
          <t>MVP feature-complete</t>
        </is>
      </c>
      <c r="C10" s="0">
        <v>75</v>
      </c>
      <c r="D10" s="0" t="inlineStr">
        <is>
          <t>Em andamento</t>
        </is>
      </c>
      <c r="E10" s="0" t="inlineStr">
        <is>
          <t>Jornada bilateral validada incluindo 111 e 116 e métricas 106-107 — 113-114 conforme decisão 112</t>
        </is>
      </c>
      <c r="F10" s="0" t="inlineStr">
        <is>
          <t>20/11/2026</t>
        </is>
      </c>
      <c r="G10" s="0" t="inlineStr">
        <is>
          <t/>
        </is>
      </c>
    </row>
    <row r="11">
      <c r="A11" s="0" t="inlineStr">
        <is>
          <t>MC6</t>
        </is>
      </c>
      <c r="B11" s="0" t="inlineStr">
        <is>
          <t>Conteúdo do piloto aprovado</t>
        </is>
      </c>
      <c r="C11" s="0">
        <v>77</v>
      </c>
      <c r="D11" s="0" t="inlineStr">
        <is>
          <t>Não iniciado</t>
        </is>
      </c>
      <c r="E11" s="0" t="inlineStr">
        <is>
          <t>60 atividades aprovadas com origem nível teste e revisão — tarefas 77 108 110 e 115</t>
        </is>
      </c>
      <c r="F11" s="0" t="inlineStr">
        <is>
          <t>27/11/2026</t>
        </is>
      </c>
      <c r="G11" s="0" t="inlineStr">
        <is>
          <t/>
        </is>
      </c>
    </row>
    <row r="12">
      <c r="A12" s="0" t="inlineStr">
        <is>
          <t>MC7</t>
        </is>
      </c>
      <c r="B12" s="0" t="inlineStr">
        <is>
          <t>Release candidate</t>
        </is>
      </c>
      <c r="C12" s="0">
        <v>96</v>
      </c>
      <c r="D12" s="0" t="inlineStr">
        <is>
          <t>Não iniciado</t>
        </is>
      </c>
      <c r="E12" s="0" t="inlineStr">
        <is>
          <t>QA segurança acessibilidade privacidade UAT e restauração 118 sem bloqueador — PWA 119 validada</t>
        </is>
      </c>
      <c r="F12" s="0" t="inlineStr">
        <is>
          <t>18/12/2026</t>
        </is>
      </c>
      <c r="G12" s="0" t="inlineStr">
        <is>
          <t/>
        </is>
      </c>
    </row>
    <row r="13">
      <c r="A13" s="0" t="inlineStr">
        <is>
          <t>MC8</t>
        </is>
      </c>
      <c r="B13" s="0" t="inlineStr">
        <is>
          <t>Go/no-go do piloto</t>
        </is>
      </c>
      <c r="C13" s="0">
        <v>98</v>
      </c>
      <c r="D13" s="0" t="inlineStr">
        <is>
          <t>Não iniciado</t>
        </is>
      </c>
      <c r="E13" s="0" t="inlineStr">
        <is>
          <t>Coorte suporte métricas e release confirmados</t>
        </is>
      </c>
      <c r="F13" s="0" t="inlineStr">
        <is>
          <t>08/01/2027</t>
        </is>
      </c>
      <c r="G13" s="0" t="inlineStr">
        <is>
          <t/>
        </is>
      </c>
    </row>
    <row r="14">
      <c r="A14" s="0" t="inlineStr">
        <is>
          <t>MC9</t>
        </is>
      </c>
      <c r="B14" s="0" t="inlineStr">
        <is>
          <t>Piloto concluído</t>
        </is>
      </c>
      <c r="C14" s="0">
        <v>102</v>
      </c>
      <c r="D14" s="0" t="inlineStr">
        <is>
          <t>Não iniciado</t>
        </is>
      </c>
      <c r="E14" s="0" t="inlineStr">
        <is>
          <t>Seis semanas de uso dados íntegros e entrevistas agendadas</t>
        </is>
      </c>
      <c r="F14" s="0" t="inlineStr">
        <is>
          <t>19/02/2027</t>
        </is>
      </c>
      <c r="G14" s="0" t="inlineStr">
        <is>
          <t/>
        </is>
      </c>
    </row>
    <row r="15">
      <c r="A15" s="0" t="inlineStr">
        <is>
          <t>MC10</t>
        </is>
      </c>
      <c r="B15" s="0" t="inlineStr">
        <is>
          <t>Decisão do MVP comercial</t>
        </is>
      </c>
      <c r="C15" s="0">
        <v>103</v>
      </c>
      <c r="D15" s="0" t="inlineStr">
        <is>
          <t>Não iniciado</t>
        </is>
      </c>
      <c r="E15" s="0" t="inlineStr">
        <is>
          <t>Relatório do piloto e recomendação aprovados</t>
        </is>
      </c>
      <c r="F15" s="0" t="inlineStr">
        <is>
          <t>05/03/2027</t>
        </is>
      </c>
      <c r="G15" s="0" t="inlineStr">
        <is>
          <t/>
        </is>
      </c>
    </row>
  </sheetData>
  <autoFilter ref="A1:G15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2" customWidth="1"/>
    <col min="3" max="3" width="18" customWidth="1"/>
    <col min="4" max="4" width="16" customWidth="1"/>
    <col min="5" max="5" width="14" customWidth="1"/>
    <col min="6" max="6" width="58" customWidth="1"/>
    <col min="7" max="7" width="18" customWidth="1"/>
    <col min="8" max="8" width="16" customWidth="1"/>
  </cols>
  <sheetData>
    <row r="1">
      <c r="A1" s="1" t="inlineStr">
        <is>
          <t>ID</t>
        </is>
      </c>
      <c r="B1" s="1" t="inlineStr">
        <is>
          <t>Risco</t>
        </is>
      </c>
      <c r="C1" s="1" t="inlineStr">
        <is>
          <t>Categoria</t>
        </is>
      </c>
      <c r="D1" s="1" t="inlineStr">
        <is>
          <t>Probabilidade</t>
        </is>
      </c>
      <c r="E1" s="1" t="inlineStr">
        <is>
          <t>Impacto</t>
        </is>
      </c>
      <c r="F1" s="1" t="inlineStr">
        <is>
          <t>Mitigação</t>
        </is>
      </c>
      <c r="G1" s="1" t="inlineStr">
        <is>
          <t>Responsável</t>
        </is>
      </c>
      <c r="H1" s="1" t="inlineStr">
        <is>
          <t>Status</t>
        </is>
      </c>
    </row>
    <row r="2">
      <c r="A2" s="0" t="inlineStr">
        <is>
          <t>R01</t>
        </is>
      </c>
      <c r="B2" s="0" t="inlineStr">
        <is>
          <t>Privacidade de respostas íntimas</t>
        </is>
      </c>
      <c r="C2" s="0" t="inlineStr">
        <is>
          <t>Segurança</t>
        </is>
      </c>
      <c r="D2" s="0" t="inlineStr">
        <is>
          <t>Alta</t>
        </is>
      </c>
      <c r="E2" s="0" t="inlineStr">
        <is>
          <t>Crítico</t>
        </is>
      </c>
      <c r="F2" s="0" t="inlineStr">
        <is>
          <t>Criptografia autorização por casal e testes de isolamento</t>
        </is>
      </c>
      <c r="G2" s="0" t="inlineStr">
        <is>
          <t/>
        </is>
      </c>
      <c r="H2" s="0" t="inlineStr">
        <is>
          <t>Aberto</t>
        </is>
      </c>
    </row>
    <row r="3">
      <c r="A3" s="0" t="inlineStr">
        <is>
          <t>R02</t>
        </is>
      </c>
      <c r="B3" s="0" t="inlineStr">
        <is>
          <t>Baixa adesão do parceiro</t>
        </is>
      </c>
      <c r="C3" s="0" t="inlineStr">
        <is>
          <t>Produto</t>
        </is>
      </c>
      <c r="D3" s="0" t="inlineStr">
        <is>
          <t>Alta</t>
        </is>
      </c>
      <c r="E3" s="0" t="inlineStr">
        <is>
          <t>Alto</t>
        </is>
      </c>
      <c r="F3" s="0" t="inlineStr">
        <is>
          <t>Simplificar convite lembretes e medir conversão do pareamento</t>
        </is>
      </c>
      <c r="G3" s="0" t="inlineStr">
        <is>
          <t/>
        </is>
      </c>
      <c r="H3" s="0" t="inlineStr">
        <is>
          <t>Aberto</t>
        </is>
      </c>
    </row>
    <row r="4">
      <c r="A4" s="0" t="inlineStr">
        <is>
          <t>R03</t>
        </is>
      </c>
      <c r="B4" s="0" t="inlineStr">
        <is>
          <t>Conteúdo percebido como diagnóstico</t>
        </is>
      </c>
      <c r="C4" s="0" t="inlineStr">
        <is>
          <t>Conteúdo</t>
        </is>
      </c>
      <c r="D4" s="0" t="inlineStr">
        <is>
          <t>Média</t>
        </is>
      </c>
      <c r="E4" s="0" t="inlineStr">
        <is>
          <t>Alto</t>
        </is>
      </c>
      <c r="F4" s="0" t="inlineStr">
        <is>
          <t>Revisão por especialista e avisos claros de caráter educativo</t>
        </is>
      </c>
      <c r="G4" s="0" t="inlineStr">
        <is>
          <t/>
        </is>
      </c>
      <c r="H4" s="0" t="inlineStr">
        <is>
          <t>Aberto</t>
        </is>
      </c>
    </row>
    <row r="5">
      <c r="A5" s="0" t="inlineStr">
        <is>
          <t>R04</t>
        </is>
      </c>
      <c r="B5" s="0" t="inlineStr">
        <is>
          <t>Vazamento de credenciais ou sessões</t>
        </is>
      </c>
      <c r="C5" s="0" t="inlineStr">
        <is>
          <t>Segurança</t>
        </is>
      </c>
      <c r="D5" s="0" t="inlineStr">
        <is>
          <t>Média</t>
        </is>
      </c>
      <c r="E5" s="0" t="inlineStr">
        <is>
          <t>Crítico</t>
        </is>
      </c>
      <c r="F5" s="0" t="inlineStr">
        <is>
          <t>Hash forte expiração rotação e gestão de segredos</t>
        </is>
      </c>
      <c r="G5" s="0" t="inlineStr">
        <is>
          <t/>
        </is>
      </c>
      <c r="H5" s="0" t="inlineStr">
        <is>
          <t>Aberto</t>
        </is>
      </c>
    </row>
    <row r="6">
      <c r="A6" s="0" t="inlineStr">
        <is>
          <t>R05</t>
        </is>
      </c>
      <c r="B6" s="0" t="inlineStr">
        <is>
          <t>Atraso por escopo excessivo</t>
        </is>
      </c>
      <c r="C6" s="0" t="inlineStr">
        <is>
          <t>Gestão</t>
        </is>
      </c>
      <c r="D6" s="0" t="inlineStr">
        <is>
          <t>Alta</t>
        </is>
      </c>
      <c r="E6" s="0" t="inlineStr">
        <is>
          <t>Alto</t>
        </is>
      </c>
      <c r="F6" s="0" t="inlineStr">
        <is>
          <t>Proteger MVP controlar mudanças e revisar prioridades semanalmente</t>
        </is>
      </c>
      <c r="G6" s="0" t="inlineStr">
        <is>
          <t/>
        </is>
      </c>
      <c r="H6" s="0" t="inlineStr">
        <is>
          <t>Aberto</t>
        </is>
      </c>
    </row>
    <row r="7">
      <c r="A7" s="0" t="inlineStr">
        <is>
          <t>R06</t>
        </is>
      </c>
      <c r="B7" s="0" t="inlineStr">
        <is>
          <t>Dependência do armazenamento JSON</t>
        </is>
      </c>
      <c r="C7" s="0" t="inlineStr">
        <is>
          <t>Tecnologia</t>
        </is>
      </c>
      <c r="D7" s="0" t="inlineStr">
        <is>
          <t>Alta</t>
        </is>
      </c>
      <c r="E7" s="0" t="inlineStr">
        <is>
          <t>Alto</t>
        </is>
      </c>
      <c r="F7" s="0" t="inlineStr">
        <is>
          <t>Feedback remoto já usa PostgreSQL temporário - migrar os demais dados e provisionar banco definitivo antes da publicação ampla</t>
        </is>
      </c>
      <c r="G7" s="0" t="inlineStr">
        <is>
          <t/>
        </is>
      </c>
      <c r="H7" s="0" t="inlineStr">
        <is>
          <t>Aberto</t>
        </is>
      </c>
    </row>
    <row r="8">
      <c r="A8" s="0" t="inlineStr">
        <is>
          <t>R07</t>
        </is>
      </c>
      <c r="B8" s="0" t="inlineStr">
        <is>
          <t>Não conformidade com LGPD</t>
        </is>
      </c>
      <c r="C8" s="0" t="inlineStr">
        <is>
          <t>Jurídico</t>
        </is>
      </c>
      <c r="D8" s="0" t="inlineStr">
        <is>
          <t>Média</t>
        </is>
      </c>
      <c r="E8" s="0" t="inlineStr">
        <is>
          <t>Crítico</t>
        </is>
      </c>
      <c r="F8" s="0" t="inlineStr">
        <is>
          <t>Inventário v1 concluído — resolver DEC-01 a DEC-11 implementar consentimentos e direitos aprovar RIPD LIAs operadores e revisão jurídica</t>
        </is>
      </c>
      <c r="G8" s="0" t="inlineStr">
        <is>
          <t>Privacidade/Jurídico</t>
        </is>
      </c>
      <c r="H8" s="0" t="inlineStr">
        <is>
          <t>Aberto</t>
        </is>
      </c>
    </row>
    <row r="9">
      <c r="A9" s="0" t="inlineStr">
        <is>
          <t>R08</t>
        </is>
      </c>
      <c r="B9" s="0" t="inlineStr">
        <is>
          <t>Problemas de desempenho em mobile</t>
        </is>
      </c>
      <c r="C9" s="0" t="inlineStr">
        <is>
          <t>Tecnologia</t>
        </is>
      </c>
      <c r="D9" s="0" t="inlineStr">
        <is>
          <t>Média</t>
        </is>
      </c>
      <c r="E9" s="0" t="inlineStr">
        <is>
          <t>Médio</t>
        </is>
      </c>
      <c r="F9" s="0" t="inlineStr">
        <is>
          <t>Orçamento de performance imagens otimizadas e testes em aparelhos reais</t>
        </is>
      </c>
      <c r="G9" s="0" t="inlineStr">
        <is>
          <t/>
        </is>
      </c>
      <c r="H9" s="0" t="inlineStr">
        <is>
          <t>Aberto</t>
        </is>
      </c>
    </row>
    <row r="10">
      <c r="A10" s="0" t="inlineStr">
        <is>
          <t>R09</t>
        </is>
      </c>
      <c r="B10" s="0" t="inlineStr">
        <is>
          <t>Capacidade da equipe abaixo da premissa</t>
        </is>
      </c>
      <c r="C10" s="0" t="inlineStr">
        <is>
          <t>Gestão</t>
        </is>
      </c>
      <c r="D10" s="0" t="inlineStr">
        <is>
          <t>Alta</t>
        </is>
      </c>
      <c r="E10" s="0" t="inlineStr">
        <is>
          <t>Alto</t>
        </is>
      </c>
      <c r="F10" s="0" t="inlineStr">
        <is>
          <t>Confirmar responsáveis e horas recalcular datas ou reduzir amplitude antes do ciclo</t>
        </is>
      </c>
      <c r="G10" s="0" t="inlineStr">
        <is>
          <t/>
        </is>
      </c>
      <c r="H10" s="0" t="inlineStr">
        <is>
          <t>Aberto</t>
        </is>
      </c>
    </row>
    <row r="11">
      <c r="A11" s="0" t="inlineStr">
        <is>
          <t>R10</t>
        </is>
      </c>
      <c r="B11" s="0" t="inlineStr">
        <is>
          <t>Recesso e recrutamento atrasam o piloto</t>
        </is>
      </c>
      <c r="C11" s="0" t="inlineStr">
        <is>
          <t>Gestão</t>
        </is>
      </c>
      <c r="D11" s="0" t="inlineStr">
        <is>
          <t>Média</t>
        </is>
      </c>
      <c r="E11" s="0" t="inlineStr">
        <is>
          <t>Alto</t>
        </is>
      </c>
      <c r="F11" s="0" t="inlineStr">
        <is>
          <t>Antecipar UAT congelar escopo em dezembro e manter recrutamento contínuo</t>
        </is>
      </c>
      <c r="G11" s="0" t="inlineStr">
        <is>
          <t/>
        </is>
      </c>
      <c r="H11" s="0" t="inlineStr">
        <is>
          <t>Aberto</t>
        </is>
      </c>
    </row>
    <row r="12">
      <c r="A12" s="0" t="inlineStr">
        <is>
          <t>R11</t>
        </is>
      </c>
      <c r="B12" s="0" t="inlineStr">
        <is>
          <t>Autorização quebrada expõe dados entre casais</t>
        </is>
      </c>
      <c r="C12" s="0" t="inlineStr">
        <is>
          <t>Segurança</t>
        </is>
      </c>
      <c r="D12" s="0" t="inlineStr">
        <is>
          <t>Alta</t>
        </is>
      </c>
      <c r="E12" s="0" t="inlineStr">
        <is>
          <t>Crítico</t>
        </is>
      </c>
      <c r="F12" s="0" t="inlineStr">
        <is>
          <t>Autorização por sujeito ação e recurso DTOs mínimos e testes negativos ST-01 a ST-05</t>
        </is>
      </c>
      <c r="G12" s="0" t="inlineStr">
        <is>
          <t>Liderança Técnica</t>
        </is>
      </c>
      <c r="H12" s="0" t="inlineStr">
        <is>
          <t>Aberto</t>
        </is>
      </c>
    </row>
    <row r="13">
      <c r="A13" s="0" t="inlineStr">
        <is>
          <t>R12</t>
        </is>
      </c>
      <c r="B13" s="0" t="inlineStr">
        <is>
          <t>Convite curto permite sequestro da segunda vaga</t>
        </is>
      </c>
      <c r="C13" s="0" t="inlineStr">
        <is>
          <t>Segurança</t>
        </is>
      </c>
      <c r="D13" s="0" t="inlineStr">
        <is>
          <t>Alta</t>
        </is>
      </c>
      <c r="E13" s="0" t="inlineStr">
        <is>
          <t>Crítico</t>
        </is>
      </c>
      <c r="F13" s="0" t="inlineStr">
        <is>
          <t>Pelo menos 128 bits hash expiração uso único rate limit e testes ST-06 a ST-08</t>
        </is>
      </c>
      <c r="G13" s="0" t="inlineStr">
        <is>
          <t>Liderança Técnica</t>
        </is>
      </c>
      <c r="H13" s="0" t="inlineStr">
        <is>
          <t>Aberto</t>
        </is>
      </c>
    </row>
    <row r="14">
      <c r="A14" s="0" t="inlineStr">
        <is>
          <t>R13</t>
        </is>
      </c>
      <c r="B14" s="0" t="inlineStr">
        <is>
          <t>Eventos do cliente adulteram métricas do piloto</t>
        </is>
      </c>
      <c r="C14" s="0" t="inlineStr">
        <is>
          <t>Dados</t>
        </is>
      </c>
      <c r="D14" s="0" t="inlineStr">
        <is>
          <t>Alta</t>
        </is>
      </c>
      <c r="E14" s="0" t="inlineStr">
        <is>
          <t>Alto</t>
        </is>
      </c>
      <c r="F14" s="0" t="inlineStr">
        <is>
          <t>Derivar métricas críticas no servidor rejeitar eventos financeiros e testar replay</t>
        </is>
      </c>
      <c r="G14" s="0" t="inlineStr">
        <is>
          <t>Engenharia Backend</t>
        </is>
      </c>
      <c r="H14" s="0" t="inlineStr">
        <is>
          <t>Aberto</t>
        </is>
      </c>
    </row>
    <row r="15">
      <c r="A15" s="0" t="inlineStr">
        <is>
          <t>R14</t>
        </is>
      </c>
      <c r="B15" s="0" t="inlineStr">
        <is>
          <t>Cache ou notificação expõe conteúdo íntimo</t>
        </is>
      </c>
      <c r="C15" s="0" t="inlineStr">
        <is>
          <t>Privacidade</t>
        </is>
      </c>
      <c r="D15" s="0" t="inlineStr">
        <is>
          <t>Média</t>
        </is>
      </c>
      <c r="E15" s="0" t="inlineStr">
        <is>
          <t>Crítico</t>
        </is>
      </c>
      <c r="F15" s="0" t="inlineStr">
        <is>
          <t>No-store service worker sem S3 ou S4 notificações discretas e teste em aparelho compartilhado</t>
        </is>
      </c>
      <c r="G15" s="0" t="inlineStr">
        <is>
          <t>Privacidade/Jurídico</t>
        </is>
      </c>
      <c r="H15" s="0" t="inlineStr">
        <is>
          <t>Aberto</t>
        </is>
      </c>
    </row>
    <row r="16">
      <c r="A16" s="0" t="inlineStr">
        <is>
          <t>MR01</t>
        </is>
      </c>
      <c r="B16" s="0" t="inlineStr">
        <is>
          <t>Escopo do MPV crescer antes da validação</t>
        </is>
      </c>
      <c r="C16" s="0" t="inlineStr">
        <is>
          <t>MPV</t>
        </is>
      </c>
      <c r="D16" s="0" t="inlineStr">
        <is>
          <t>Alta</t>
        </is>
      </c>
      <c r="E16" s="0" t="inlineStr">
        <is>
          <t>Alto</t>
        </is>
      </c>
      <c r="F16" s="0" t="inlineStr">
        <is>
          <t>Bloquear novas áreas no teste e exigir a retirada de um item para qualquer inclusão</t>
        </is>
      </c>
      <c r="G16" s="0" t="inlineStr">
        <is>
          <t>Product Owner — Tatyele Lopes</t>
        </is>
      </c>
      <c r="H16" s="0" t="inlineStr">
        <is>
          <t>Aberto</t>
        </is>
      </c>
    </row>
    <row r="17">
      <c r="A17" s="0" t="inlineStr">
        <is>
          <t>MR02</t>
        </is>
      </c>
      <c r="B17" s="0" t="inlineStr">
        <is>
          <t>Regras dos jogos não serem entendidas sem ajuda</t>
        </is>
      </c>
      <c r="C17" s="0" t="inlineStr">
        <is>
          <t>MPV</t>
        </is>
      </c>
      <c r="D17" s="0" t="inlineStr">
        <is>
          <t>Média</t>
        </is>
      </c>
      <c r="E17" s="0" t="inlineStr">
        <is>
          <t>Alto</t>
        </is>
      </c>
      <c r="F17" s="0" t="inlineStr">
        <is>
          <t>Instrução em uma tela exemplo curto e critério de conclusão sem mediação</t>
        </is>
      </c>
      <c r="G17" s="0" t="inlineStr">
        <is>
          <t>Product Designer</t>
        </is>
      </c>
      <c r="H17" s="0" t="inlineStr">
        <is>
          <t>Aberto</t>
        </is>
      </c>
    </row>
    <row r="18">
      <c r="A18" s="0" t="inlineStr">
        <is>
          <t>MR03</t>
        </is>
      </c>
      <c r="B18" s="0" t="inlineStr">
        <is>
          <t>Perguntas do teste causarem desconforto</t>
        </is>
      </c>
      <c r="C18" s="0" t="inlineStr">
        <is>
          <t>MPV</t>
        </is>
      </c>
      <c r="D18" s="0" t="inlineStr">
        <is>
          <t>Baixa</t>
        </is>
      </c>
      <c r="E18" s="0" t="inlineStr">
        <is>
          <t>Alto</t>
        </is>
      </c>
      <c r="F18" s="0" t="inlineStr">
        <is>
          <t>Usar apenas cartas leves permitir pular e não armazenar respostas</t>
        </is>
      </c>
      <c r="G18" s="0" t="inlineStr">
        <is>
          <t>Conteúdo</t>
        </is>
      </c>
      <c r="H18" s="0" t="inlineStr">
        <is>
          <t>Aberto</t>
        </is>
      </c>
    </row>
    <row r="19">
      <c r="A19" s="0" t="inlineStr">
        <is>
          <t>MR04</t>
        </is>
      </c>
      <c r="B19" s="0" t="inlineStr">
        <is>
          <t>Conteúdo influenciar mais que o formato</t>
        </is>
      </c>
      <c r="C19" s="0" t="inlineStr">
        <is>
          <t>MPV</t>
        </is>
      </c>
      <c r="D19" s="0" t="inlineStr">
        <is>
          <t>Média</t>
        </is>
      </c>
      <c r="E19" s="0" t="inlineStr">
        <is>
          <t>Médio</t>
        </is>
      </c>
      <c r="F19" s="0" t="inlineStr">
        <is>
          <t>Equilibrar duração tema e quantidade de cartas entre os dois jogos</t>
        </is>
      </c>
      <c r="G19" s="0" t="inlineStr">
        <is>
          <t>Product Owner — Tatyele Lopes</t>
        </is>
      </c>
      <c r="H19" s="0" t="inlineStr">
        <is>
          <t>Aberto</t>
        </is>
      </c>
    </row>
    <row r="20">
      <c r="A20" s="0" t="inlineStr">
        <is>
          <t>MR05</t>
        </is>
      </c>
      <c r="B20" s="0" t="inlineStr">
        <is>
          <t>Falha no celular impedir a sessão de teste</t>
        </is>
      </c>
      <c r="C20" s="0" t="inlineStr">
        <is>
          <t>MPV</t>
        </is>
      </c>
      <c r="D20" s="0" t="inlineStr">
        <is>
          <t>Média</t>
        </is>
      </c>
      <c r="E20" s="0" t="inlineStr">
        <is>
          <t>Alto</t>
        </is>
      </c>
      <c r="F20" s="0" t="inlineStr">
        <is>
          <t>Validar o caminho crítico nos navegadores alvo e manter reinício simples</t>
        </is>
      </c>
      <c r="G20" s="0" t="inlineStr">
        <is>
          <t>Engenharia Frontend</t>
        </is>
      </c>
      <c r="H20" s="0" t="inlineStr">
        <is>
          <t>Aberto</t>
        </is>
      </c>
    </row>
    <row r="21">
      <c r="A21" s="0" t="inlineStr">
        <is>
          <t>MR06</t>
        </is>
      </c>
      <c r="B21" s="0" t="inlineStr">
        <is>
          <t>Sugestão aberta conter nomes contatos ou detalhes pessoais</t>
        </is>
      </c>
      <c r="C21" s="0" t="inlineStr">
        <is>
          <t>Privacidade</t>
        </is>
      </c>
      <c r="D21" s="0" t="inlineStr">
        <is>
          <t>Média</t>
        </is>
      </c>
      <c r="E21" s="0" t="inlineStr">
        <is>
          <t>Alto</t>
        </is>
      </c>
      <c r="F21" s="0" t="inlineStr">
        <is>
          <t>Limitar a 500 caracteres orientar a não inserir dados pessoais restringir a exportação e excluir a base gratuita em até 30 dias</t>
        </is>
      </c>
      <c r="G21" s="0" t="inlineStr">
        <is>
          <t>Privacidade/Jurídico</t>
        </is>
      </c>
      <c r="H21" s="0" t="inlineStr">
        <is>
          <t>Aberto</t>
        </is>
      </c>
    </row>
  </sheetData>
  <autoFilter ref="A1:H21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0" customWidth="1"/>
    <col min="3" max="3" width="22" customWidth="1"/>
    <col min="4" max="4" width="25" customWidth="1"/>
    <col min="5" max="5" width="30" customWidth="1"/>
  </cols>
  <sheetData>
    <row r="1">
      <c r="A1" s="1" t="inlineStr">
        <is>
          <t>GESTÃO DE BACKLOG E CERIMÔNIAS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0" t="inlineStr">
        <is>
          <t>Modelo</t>
        </is>
      </c>
      <c r="B2" s="0" t="inlineStr">
        <is>
          <t>Kanban com compromisso quinzenal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</row>
    <row r="3">
      <c r="A3" s="0" t="inlineStr">
        <is>
          <t>Dono da prioridade</t>
        </is>
      </c>
      <c r="B3" s="0" t="inlineStr">
        <is>
          <t>Product Owner — Tatyele Lopes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</row>
    <row r="4">
      <c r="A4" s="0" t="inlineStr">
        <is>
          <t>Fonte operacional</t>
        </is>
      </c>
      <c r="B4" s="0" t="inlineStr">
        <is>
          <t>Plano Mestre; ferramenta externa deve referenciar o mesmo ID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</row>
    <row r="6">
      <c r="A6" s="0" t="inlineStr">
        <is>
          <t>FLUXO</t>
        </is>
      </c>
      <c r="B6" s="0" t="inlineStr">
        <is>
          <t>REGRA DE SAÍDA</t>
        </is>
      </c>
      <c r="C6" s="0" t="inlineStr">
        <is>
          <t>WIP</t>
        </is>
      </c>
      <c r="D6" s="0" t="inlineStr">
        <is>
          <t>EQUIVALÊNCIA NO PLANO</t>
        </is>
      </c>
      <c r="E6" s="0" t="inlineStr">
        <is>
          <t>RESPONSÁVEL</t>
        </is>
      </c>
    </row>
    <row r="7">
      <c r="A7" s="0" t="inlineStr">
        <is>
          <t>Funil</t>
        </is>
      </c>
      <c r="B7" s="0" t="inlineStr">
        <is>
          <t>Triagem realizada</t>
        </is>
      </c>
      <c r="C7" s="0" t="inlineStr">
        <is>
          <t>Sem limite</t>
        </is>
      </c>
      <c r="D7" s="0" t="inlineStr">
        <is>
          <t>Não iniciado</t>
        </is>
      </c>
      <c r="E7" s="0" t="inlineStr">
        <is>
          <t>PO</t>
        </is>
      </c>
    </row>
    <row r="8">
      <c r="A8" s="0" t="inlineStr">
        <is>
          <t>Análise</t>
        </is>
      </c>
      <c r="B8" s="0" t="inlineStr">
        <is>
          <t>Descartar pesquisar ou detalhar</t>
        </is>
      </c>
      <c r="C8" s="0" t="inlineStr">
        <is>
          <t>5</t>
        </is>
      </c>
      <c r="D8" s="0" t="inlineStr">
        <is>
          <t>Não iniciado</t>
        </is>
      </c>
      <c r="E8" s="0" t="inlineStr">
        <is>
          <t>PO/TL</t>
        </is>
      </c>
    </row>
    <row r="9">
      <c r="A9" s="0" t="inlineStr">
        <is>
          <t>Refinamento</t>
        </is>
      </c>
      <c r="B9" s="0" t="inlineStr">
        <is>
          <t>Definition of Ready atendida</t>
        </is>
      </c>
      <c r="C9" s="0" t="inlineStr">
        <is>
          <t>8</t>
        </is>
      </c>
      <c r="D9" s="0" t="inlineStr">
        <is>
          <t>Não iniciado</t>
        </is>
      </c>
      <c r="E9" s="0" t="inlineStr">
        <is>
          <t>PO/TL</t>
        </is>
      </c>
    </row>
    <row r="10">
      <c r="A10" s="0" t="inlineStr">
        <is>
          <t>Pronto</t>
        </is>
      </c>
      <c r="B10" s="0" t="inlineStr">
        <is>
          <t>Selecionado no planejamento</t>
        </is>
      </c>
      <c r="C10" s="0" t="inlineStr">
        <is>
          <t>10</t>
        </is>
      </c>
      <c r="D10" s="0" t="inlineStr">
        <is>
          <t>Não iniciado</t>
        </is>
      </c>
      <c r="E10" s="0" t="inlineStr">
        <is>
          <t>PO</t>
        </is>
      </c>
    </row>
    <row r="11">
      <c r="A11" s="0" t="inlineStr">
        <is>
          <t>Em andamento</t>
        </is>
      </c>
      <c r="B11" s="0" t="inlineStr">
        <is>
          <t>Incremento pronto para revisão</t>
        </is>
      </c>
      <c r="C11" s="0" t="inlineStr">
        <is>
          <t>5 no time; 1 por pessoa</t>
        </is>
      </c>
      <c r="D11" s="0" t="inlineStr">
        <is>
          <t>Em andamento</t>
        </is>
      </c>
      <c r="E11" s="0" t="inlineStr">
        <is>
          <t>Dono do item</t>
        </is>
      </c>
    </row>
    <row r="12">
      <c r="A12" s="0" t="inlineStr">
        <is>
          <t>Em revisão</t>
        </is>
      </c>
      <c r="B12" s="0" t="inlineStr">
        <is>
          <t>Parecer e ajustes concluídos</t>
        </is>
      </c>
      <c r="C12" s="0" t="inlineStr">
        <is>
          <t>4</t>
        </is>
      </c>
      <c r="D12" s="0" t="inlineStr">
        <is>
          <t>Em andamento</t>
        </is>
      </c>
      <c r="E12" s="0" t="inlineStr">
        <is>
          <t>Revisor aplicável</t>
        </is>
      </c>
    </row>
    <row r="13">
      <c r="A13" s="0" t="inlineStr">
        <is>
          <t>Em validação</t>
        </is>
      </c>
      <c r="B13" s="0" t="inlineStr">
        <is>
          <t>Aceite registrado</t>
        </is>
      </c>
      <c r="C13" s="0" t="inlineStr">
        <is>
          <t>4</t>
        </is>
      </c>
      <c r="D13" s="0" t="inlineStr">
        <is>
          <t>Em andamento</t>
        </is>
      </c>
      <c r="E13" s="0" t="inlineStr">
        <is>
          <t>QA/PO</t>
        </is>
      </c>
    </row>
    <row r="14">
      <c r="A14" s="0" t="inlineStr">
        <is>
          <t>Bloqueado</t>
        </is>
      </c>
      <c r="B14" s="0" t="inlineStr">
        <is>
          <t>Impedimento removido</t>
        </is>
      </c>
      <c r="C14" s="0" t="inlineStr">
        <is>
          <t>Exige ação</t>
        </is>
      </c>
      <c r="D14" s="0" t="inlineStr">
        <is>
          <t>Em andamento</t>
        </is>
      </c>
      <c r="E14" s="0" t="inlineStr">
        <is>
          <t>Dono + PO/TL</t>
        </is>
      </c>
    </row>
    <row r="15">
      <c r="A15" s="0" t="inlineStr">
        <is>
          <t>Concluído</t>
        </is>
      </c>
      <c r="B15" s="0" t="inlineStr">
        <is>
          <t>Definition of Done atendida</t>
        </is>
      </c>
      <c r="C15" s="0" t="inlineStr">
        <is>
          <t>Sem limite</t>
        </is>
      </c>
      <c r="D15" s="0" t="inlineStr">
        <is>
          <t>Concluído</t>
        </is>
      </c>
      <c r="E15" s="0" t="inlineStr">
        <is>
          <t>PO/TL</t>
        </is>
      </c>
    </row>
    <row r="16">
      <c r="A16" s="0" t="inlineStr">
        <is>
          <t>Cancelado</t>
        </is>
      </c>
      <c r="B16" s="0" t="inlineStr">
        <is>
          <t>Motivo registrado</t>
        </is>
      </c>
      <c r="C16" s="0" t="inlineStr">
        <is>
          <t>Sem limite</t>
        </is>
      </c>
      <c r="D16" s="0" t="inlineStr">
        <is>
          <t>Cancelado</t>
        </is>
      </c>
      <c r="E16" s="0" t="inlineStr">
        <is>
          <t>PO</t>
        </is>
      </c>
    </row>
    <row r="17">
      <c r="A17" s="0" t="inlineStr">
        <is>
          <t/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inlineStr">
        <is>
          <t/>
        </is>
      </c>
    </row>
    <row r="18">
      <c r="A18" s="0" t="inlineStr">
        <is>
          <t>CERIMÔNIA</t>
        </is>
      </c>
      <c r="B18" s="0" t="inlineStr">
        <is>
          <t>CADÊNCIA</t>
        </is>
      </c>
      <c r="C18" s="0" t="inlineStr">
        <is>
          <t>DURAÇÃO</t>
        </is>
      </c>
      <c r="D18" s="0" t="inlineStr">
        <is>
          <t>FACILITADOR</t>
        </is>
      </c>
      <c r="E18" s="0" t="inlineStr">
        <is>
          <t>SAÍDA</t>
        </is>
      </c>
    </row>
    <row r="19">
      <c r="A19" s="0" t="inlineStr">
        <is>
          <t>Triagem do funil</t>
        </is>
      </c>
      <c r="B19" s="0" t="inlineStr">
        <is>
          <t>Semanal</t>
        </is>
      </c>
      <c r="C19" s="0" t="inlineStr">
        <is>
          <t>30 min</t>
        </is>
      </c>
      <c r="D19" s="0" t="inlineStr">
        <is>
          <t>PO</t>
        </is>
      </c>
      <c r="E19" s="0" t="inlineStr">
        <is>
          <t>Entradas classificadas</t>
        </is>
      </c>
    </row>
    <row r="20">
      <c r="A20" s="0" t="inlineStr">
        <is>
          <t>Refinamento</t>
        </is>
      </c>
      <c r="B20" s="0" t="inlineStr">
        <is>
          <t>Semanal</t>
        </is>
      </c>
      <c r="C20" s="0" t="inlineStr">
        <is>
          <t>60 min</t>
        </is>
      </c>
      <c r="D20" s="0" t="inlineStr">
        <is>
          <t>PO/TL</t>
        </is>
      </c>
      <c r="E20" s="0" t="inlineStr">
        <is>
          <t>Itens Ready e estimados</t>
        </is>
      </c>
    </row>
    <row r="21">
      <c r="A21" s="0" t="inlineStr">
        <is>
          <t>Planejamento</t>
        </is>
      </c>
      <c r="B21" s="0" t="inlineStr">
        <is>
          <t>Início da quinzena</t>
        </is>
      </c>
      <c r="C21" s="0" t="inlineStr">
        <is>
          <t>60–90 min</t>
        </is>
      </c>
      <c r="D21" s="0" t="inlineStr">
        <is>
          <t>PO</t>
        </is>
      </c>
      <c r="E21" s="0" t="inlineStr">
        <is>
          <t>Objetivo, compromisso e donos</t>
        </is>
      </c>
    </row>
    <row r="22">
      <c r="A22" s="0" t="inlineStr">
        <is>
          <t>Check-in</t>
        </is>
      </c>
      <c r="B22" s="0" t="inlineStr">
        <is>
          <t>Diário assíncrono</t>
        </is>
      </c>
      <c r="C22" s="0" t="inlineStr">
        <is>
          <t>Até 10 min</t>
        </is>
      </c>
      <c r="D22" s="0" t="inlineStr">
        <is>
          <t>Cada responsável</t>
        </is>
      </c>
      <c r="E22" s="0" t="inlineStr">
        <is>
          <t>Progresso, próximo passo e bloqueios</t>
        </is>
      </c>
    </row>
    <row r="23">
      <c r="A23" s="0" t="inlineStr">
        <is>
          <t>Revisão produto/conteúdo</t>
        </is>
      </c>
      <c r="B23" s="0" t="inlineStr">
        <is>
          <t>Semanal</t>
        </is>
      </c>
      <c r="C23" s="0" t="inlineStr">
        <is>
          <t>45 min</t>
        </is>
      </c>
      <c r="D23" s="0" t="inlineStr">
        <is>
          <t>PD ou RC</t>
        </is>
      </c>
      <c r="E23" s="0" t="inlineStr">
        <is>
          <t>Aceite, ajuste ou decisão</t>
        </is>
      </c>
    </row>
    <row r="24">
      <c r="A24" s="0" t="inlineStr">
        <is>
          <t>Revisão técnica e risco</t>
        </is>
      </c>
      <c r="B24" s="0" t="inlineStr">
        <is>
          <t>Semanal</t>
        </is>
      </c>
      <c r="C24" s="0" t="inlineStr">
        <is>
          <t>45 min</t>
        </is>
      </c>
      <c r="D24" s="0" t="inlineStr">
        <is>
          <t>TL</t>
        </is>
      </c>
      <c r="E24" s="0" t="inlineStr">
        <is>
          <t>Decisões, riscos e liberação</t>
        </is>
      </c>
    </row>
    <row r="25">
      <c r="A25" s="0" t="inlineStr">
        <is>
          <t>Demo e aceite</t>
        </is>
      </c>
      <c r="B25" s="0" t="inlineStr">
        <is>
          <t>Fim da quinzena</t>
        </is>
      </c>
      <c r="C25" s="0" t="inlineStr">
        <is>
          <t>60 min</t>
        </is>
      </c>
      <c r="D25" s="0" t="inlineStr">
        <is>
          <t>PO</t>
        </is>
      </c>
      <c r="E25" s="0" t="inlineStr">
        <is>
          <t>Aceites, reaberturas e feedback</t>
        </is>
      </c>
    </row>
    <row r="26">
      <c r="A26" s="0" t="inlineStr">
        <is>
          <t>Retrospectiva</t>
        </is>
      </c>
      <c r="B26" s="0" t="inlineStr">
        <is>
          <t>Fim da quinzena</t>
        </is>
      </c>
      <c r="C26" s="0" t="inlineStr">
        <is>
          <t>45 min</t>
        </is>
      </c>
      <c r="D26" s="0" t="inlineStr">
        <is>
          <t>Rotativo</t>
        </is>
      </c>
      <c r="E26" s="0" t="inlineStr">
        <is>
          <t>Uma melhoria com dono e prazo</t>
        </is>
      </c>
    </row>
    <row r="27">
      <c r="A27" s="0" t="inlineStr">
        <is>
          <t>Revisão de roadmap</t>
        </is>
      </c>
      <c r="B27" s="0" t="inlineStr">
        <is>
          <t>Mensal</t>
        </is>
      </c>
      <c r="C27" s="0" t="inlineStr">
        <is>
          <t>60 min</t>
        </is>
      </c>
      <c r="D27" s="0" t="inlineStr">
        <is>
          <t>PO</t>
        </is>
      </c>
      <c r="E27" s="0" t="inlineStr">
        <is>
          <t>Marcos, riscos e prioridades</t>
        </is>
      </c>
    </row>
    <row r="28">
      <c r="A28" s="0" t="inlineStr">
        <is>
          <t>Go/no-go</t>
        </is>
      </c>
      <c r="B28" s="0" t="inlineStr">
        <is>
          <t>Por marco</t>
        </is>
      </c>
      <c r="C28" s="0" t="inlineStr">
        <is>
          <t>Conforme pauta</t>
        </is>
      </c>
      <c r="D28" s="0" t="inlineStr">
        <is>
          <t>PO</t>
        </is>
      </c>
      <c r="E28" s="0" t="inlineStr">
        <is>
          <t>Decisão e condições</t>
        </is>
      </c>
    </row>
    <row r="29">
      <c r="A29" s="0" t="inlineStr">
        <is>
          <t/>
        </is>
      </c>
      <c r="B29" s="0" t="inlineStr">
        <is>
          <t/>
        </is>
      </c>
      <c r="C29" s="0" t="inlineStr">
        <is>
          <t/>
        </is>
      </c>
      <c r="D29" s="0" t="inlineStr">
        <is>
          <t/>
        </is>
      </c>
      <c r="E29" s="0" t="inlineStr">
        <is>
          <t/>
        </is>
      </c>
    </row>
    <row r="30">
      <c r="A30" s="0" t="inlineStr">
        <is>
          <t>DEFINITION OF READY</t>
        </is>
      </c>
      <c r="B30" s="0" t="inlineStr">
        <is>
          <t>CRITÉRIO</t>
        </is>
      </c>
      <c r="C30" s="0" t="inlineStr">
        <is>
          <t/>
        </is>
      </c>
      <c r="D30" s="0" t="inlineStr">
        <is>
          <t/>
        </is>
      </c>
      <c r="E30" s="0" t="inlineStr">
        <is>
          <t/>
        </is>
      </c>
    </row>
    <row r="31">
      <c r="A31" s="0" t="inlineStr">
        <is>
          <t>Ready 1</t>
        </is>
      </c>
      <c r="B31" s="0" t="inlineStr">
        <is>
          <t>Problema, resultado e responsável claros</t>
        </is>
      </c>
      <c r="C31" s="0" t="inlineStr">
        <is>
          <t/>
        </is>
      </c>
      <c r="D31" s="0" t="inlineStr">
        <is>
          <t/>
        </is>
      </c>
      <c r="E31" s="0" t="inlineStr">
        <is>
          <t/>
        </is>
      </c>
    </row>
    <row r="32">
      <c r="A32" s="0" t="inlineStr">
        <is>
          <t>Ready 2</t>
        </is>
      </c>
      <c r="B32" s="0" t="inlineStr">
        <is>
          <t>Aceite testável, dependências e riscos conhecidos</t>
        </is>
      </c>
      <c r="C32" s="0" t="inlineStr">
        <is>
          <t/>
        </is>
      </c>
      <c r="D32" s="0" t="inlineStr">
        <is>
          <t/>
        </is>
      </c>
      <c r="E32" s="0" t="inlineStr">
        <is>
          <t/>
        </is>
      </c>
    </row>
    <row r="33">
      <c r="A33" s="0" t="inlineStr">
        <is>
          <t>Ready 3</t>
        </is>
      </c>
      <c r="B33" s="0" t="inlineStr">
        <is>
          <t>Privacidade, segurança, acessibilidade e analytics avaliados</t>
        </is>
      </c>
      <c r="C33" s="0" t="inlineStr">
        <is>
          <t/>
        </is>
      </c>
      <c r="D33" s="0" t="inlineStr">
        <is>
          <t/>
        </is>
      </c>
      <c r="E33" s="0" t="inlineStr">
        <is>
          <t/>
        </is>
      </c>
    </row>
    <row r="34">
      <c r="A34" s="0" t="inlineStr">
        <is>
          <t>Ready 4</t>
        </is>
      </c>
      <c r="B34" s="0" t="inlineStr">
        <is>
          <t>Cabe no ciclo; PO confirma valor e TL viabilidade</t>
        </is>
      </c>
      <c r="C34" s="0" t="inlineStr">
        <is>
          <t/>
        </is>
      </c>
      <c r="D34" s="0" t="inlineStr">
        <is>
          <t/>
        </is>
      </c>
      <c r="E34" s="0" t="inlineStr">
        <is>
          <t/>
        </is>
      </c>
    </row>
    <row r="35">
      <c r="A35" s="0" t="inlineStr">
        <is>
          <t/>
        </is>
      </c>
      <c r="B35" s="0" t="inlineStr">
        <is>
          <t/>
        </is>
      </c>
      <c r="C35" s="0" t="inlineStr">
        <is>
          <t/>
        </is>
      </c>
      <c r="D35" s="0" t="inlineStr">
        <is>
          <t/>
        </is>
      </c>
      <c r="E35" s="0" t="inlineStr">
        <is>
          <t/>
        </is>
      </c>
    </row>
    <row r="36">
      <c r="A36" s="0" t="inlineStr">
        <is>
          <t>DEFINITION OF DONE</t>
        </is>
      </c>
      <c r="B36" s="0" t="inlineStr">
        <is>
          <t>CRITÉRIO</t>
        </is>
      </c>
      <c r="C36" s="0" t="inlineStr">
        <is>
          <t/>
        </is>
      </c>
      <c r="D36" s="0" t="inlineStr">
        <is>
          <t/>
        </is>
      </c>
      <c r="E36" s="0" t="inlineStr">
        <is>
          <t/>
        </is>
      </c>
    </row>
    <row r="37">
      <c r="A37" s="0" t="inlineStr">
        <is>
          <t>Done 1</t>
        </is>
      </c>
      <c r="B37" s="0" t="inlineStr">
        <is>
          <t>Aceite demonstrado e aprovado</t>
        </is>
      </c>
      <c r="C37" s="0" t="inlineStr">
        <is>
          <t/>
        </is>
      </c>
      <c r="D37" s="0" t="inlineStr">
        <is>
          <t/>
        </is>
      </c>
      <c r="E37" s="0" t="inlineStr">
        <is>
          <t/>
        </is>
      </c>
    </row>
    <row r="38">
      <c r="A38" s="0" t="inlineStr">
        <is>
          <t>Done 2</t>
        </is>
      </c>
      <c r="B38" s="0" t="inlineStr">
        <is>
          <t>Revisões e testes aplicáveis aprovados</t>
        </is>
      </c>
      <c r="C38" s="0" t="inlineStr">
        <is>
          <t/>
        </is>
      </c>
      <c r="D38" s="0" t="inlineStr">
        <is>
          <t/>
        </is>
      </c>
      <c r="E38" s="0" t="inlineStr">
        <is>
          <t/>
        </is>
      </c>
    </row>
    <row r="39">
      <c r="A39" s="0" t="inlineStr">
        <is>
          <t>Done 3</t>
        </is>
      </c>
      <c r="B39" s="0" t="inlineStr">
        <is>
          <t>Analytics, documentação e plano atualizados</t>
        </is>
      </c>
      <c r="C39" s="0" t="inlineStr">
        <is>
          <t/>
        </is>
      </c>
      <c r="D39" s="0" t="inlineStr">
        <is>
          <t/>
        </is>
      </c>
      <c r="E39" s="0" t="inlineStr">
        <is>
          <t/>
        </is>
      </c>
    </row>
    <row r="40">
      <c r="A40" s="0" t="inlineStr">
        <is>
          <t>Done 4</t>
        </is>
      </c>
      <c r="B40" s="0" t="inlineStr">
        <is>
          <t>Sem bloqueador; PO aceita e TL autoriza liberação</t>
        </is>
      </c>
      <c r="C40" s="0" t="inlineStr">
        <is>
          <t/>
        </is>
      </c>
      <c r="D40" s="0" t="inlineStr">
        <is>
          <t/>
        </is>
      </c>
      <c r="E40" s="0" t="inlineStr">
        <is>
          <t/>
        </is>
      </c>
    </row>
    <row r="41">
      <c r="A41" s="0" t="inlineStr">
        <is>
          <t/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</row>
    <row r="42">
      <c r="A42" s="0" t="inlineStr">
        <is>
          <t>CLASSE</t>
        </is>
      </c>
      <c r="B42" s="0" t="inlineStr">
        <is>
          <t>USO</t>
        </is>
      </c>
      <c r="C42" s="0" t="inlineStr">
        <is>
          <t>TRIAGEM</t>
        </is>
      </c>
      <c r="D42" s="0" t="inlineStr">
        <is>
          <t/>
        </is>
      </c>
      <c r="E42" s="0" t="inlineStr">
        <is>
          <t/>
        </is>
      </c>
    </row>
    <row r="43">
      <c r="A43" s="0" t="inlineStr">
        <is>
          <t>P0 — Expedite</t>
        </is>
      </c>
      <c r="B43" s="0" t="inlineStr">
        <is>
          <t>Segurança, privacidade, integridade ou produção indisponível</t>
        </is>
      </c>
      <c r="C43" s="0" t="inlineStr">
        <is>
          <t>Imediata</t>
        </is>
      </c>
      <c r="D43" s="0" t="inlineStr">
        <is>
          <t/>
        </is>
      </c>
      <c r="E43" s="0" t="inlineStr">
        <is>
          <t/>
        </is>
      </c>
    </row>
    <row r="44">
      <c r="A44" s="0" t="inlineStr">
        <is>
          <t>P1 — Crítico</t>
        </is>
      </c>
      <c r="B44" s="0" t="inlineStr">
        <is>
          <t>Jornada principal ou marco bloqueado</t>
        </is>
      </c>
      <c r="C44" s="0" t="inlineStr">
        <is>
          <t>Mesmo dia útil</t>
        </is>
      </c>
      <c r="D44" s="0" t="inlineStr">
        <is>
          <t/>
        </is>
      </c>
      <c r="E44" s="0" t="inlineStr">
        <is>
          <t/>
        </is>
      </c>
    </row>
    <row r="45">
      <c r="A45" s="0" t="inlineStr">
        <is>
          <t>P2 — Padrão</t>
        </is>
      </c>
      <c r="B45" s="0" t="inlineStr">
        <is>
          <t>Planejado ou defeito com contorno</t>
        </is>
      </c>
      <c r="C45" s="0" t="inlineStr">
        <is>
          <t>Próxima triagem/ciclo</t>
        </is>
      </c>
      <c r="D45" s="0" t="inlineStr">
        <is>
          <t/>
        </is>
      </c>
      <c r="E45" s="0" t="inlineStr">
        <is>
          <t/>
        </is>
      </c>
    </row>
    <row r="46">
      <c r="A46" s="0" t="inlineStr">
        <is>
          <t>P3 — Oportunidade</t>
        </is>
      </c>
      <c r="B46" s="0" t="inlineStr">
        <is>
          <t>Melhoria sem urgência ou evidência</t>
        </is>
      </c>
      <c r="C46" s="0" t="inlineStr">
        <is>
          <t>Revisão mensal</t>
        </is>
      </c>
      <c r="D46" s="0" t="inlineStr">
        <is>
          <t/>
        </is>
      </c>
      <c r="E46" s="0" t="inlineStr">
        <is>
          <t/>
        </is>
      </c>
    </row>
    <row r="47">
      <c r="A47" s="0" t="inlineStr">
        <is>
          <t/>
        </is>
      </c>
      <c r="B47" s="0" t="inlineStr">
        <is>
          <t/>
        </is>
      </c>
      <c r="C47" s="0" t="inlineStr">
        <is>
          <t/>
        </is>
      </c>
      <c r="D47" s="0" t="inlineStr">
        <is>
          <t/>
        </is>
      </c>
      <c r="E47" s="0" t="inlineStr">
        <is>
          <t/>
        </is>
      </c>
    </row>
    <row r="48">
      <c r="A48" s="0" t="inlineStr">
        <is>
          <t>MÉTRICA</t>
        </is>
      </c>
      <c r="B48" s="0" t="inlineStr">
        <is>
          <t>META INICIAL</t>
        </is>
      </c>
      <c r="C48" s="0" t="inlineStr">
        <is>
          <t/>
        </is>
      </c>
      <c r="D48" s="0" t="inlineStr">
        <is>
          <t/>
        </is>
      </c>
      <c r="E48" s="0" t="inlineStr">
        <is>
          <t/>
        </is>
      </c>
    </row>
    <row r="49">
      <c r="A49" s="0" t="inlineStr">
        <is>
          <t>Objetivo do ciclo cumprido</t>
        </is>
      </c>
      <c r="B49" s="0" t="inlineStr">
        <is>
          <t>≥ 80% dos ciclos</t>
        </is>
      </c>
      <c r="C49" s="0" t="inlineStr">
        <is>
          <t/>
        </is>
      </c>
      <c r="D49" s="0" t="inlineStr">
        <is>
          <t/>
        </is>
      </c>
      <c r="E49" s="0" t="inlineStr">
        <is>
          <t/>
        </is>
      </c>
    </row>
    <row r="50">
      <c r="A50" s="0" t="inlineStr">
        <is>
          <t>Itens planejados que entram Ready</t>
        </is>
      </c>
      <c r="B50" s="0" t="inlineStr">
        <is>
          <t>100%</t>
        </is>
      </c>
      <c r="C50" s="0" t="inlineStr">
        <is>
          <t/>
        </is>
      </c>
      <c r="D50" s="0" t="inlineStr">
        <is>
          <t/>
        </is>
      </c>
      <c r="E50" s="0" t="inlineStr">
        <is>
          <t/>
        </is>
      </c>
    </row>
    <row r="51">
      <c r="A51" s="0" t="inlineStr">
        <is>
          <t>Trabalho não planejado</t>
        </is>
      </c>
      <c r="B51" s="0" t="inlineStr">
        <is>
          <t>≤ 15% da capacidade</t>
        </is>
      </c>
      <c r="C51" s="0" t="inlineStr">
        <is>
          <t/>
        </is>
      </c>
      <c r="D51" s="0" t="inlineStr">
        <is>
          <t/>
        </is>
      </c>
      <c r="E51" s="0" t="inlineStr">
        <is>
          <t/>
        </is>
      </c>
    </row>
    <row r="52">
      <c r="A52" s="0" t="inlineStr">
        <is>
          <t>Bloqueios acima de 2 dias</t>
        </is>
      </c>
      <c r="B52" s="0" t="inlineStr">
        <is>
          <t>0 críticos; ≤ 2 totais</t>
        </is>
      </c>
      <c r="C52" s="0" t="inlineStr">
        <is>
          <t/>
        </is>
      </c>
      <c r="D52" s="0" t="inlineStr">
        <is>
          <t/>
        </is>
      </c>
      <c r="E52" s="0" t="inlineStr">
        <is>
          <t/>
        </is>
      </c>
    </row>
    <row r="53">
      <c r="A53" s="0" t="inlineStr">
        <is>
          <t>Retrabalho/reabertura</t>
        </is>
      </c>
      <c r="B53" s="0" t="inlineStr">
        <is>
          <t>≤ 10%</t>
        </is>
      </c>
      <c r="C53" s="0" t="inlineStr">
        <is>
          <t/>
        </is>
      </c>
      <c r="D53" s="0" t="inlineStr">
        <is>
          <t/>
        </is>
      </c>
      <c r="E53" s="0" t="inlineStr">
        <is>
          <t/>
        </is>
      </c>
    </row>
    <row r="54">
      <c r="A54" s="0" t="inlineStr">
        <is>
          <t>Itens simultâneos por pessoa</t>
        </is>
      </c>
      <c r="B54" s="0" t="inlineStr">
        <is>
          <t>≤ 1</t>
        </is>
      </c>
      <c r="C54" s="0" t="inlineStr">
        <is>
          <t/>
        </is>
      </c>
      <c r="D54" s="0" t="inlineStr">
        <is>
          <t/>
        </is>
      </c>
      <c r="E54" s="0" t="inlineStr">
        <is>
          <t/>
        </is>
      </c>
    </row>
    <row r="55">
      <c r="A55" s="0" t="inlineStr">
        <is>
          <t>Defeitos P0/P1 ao fim do ciclo</t>
        </is>
      </c>
      <c r="B55" s="0" t="inlineStr">
        <is>
          <t>0</t>
        </is>
      </c>
      <c r="C55" s="0" t="inlineStr">
        <is>
          <t/>
        </is>
      </c>
      <c r="D55" s="0" t="inlineStr">
        <is>
          <t/>
        </is>
      </c>
      <c r="E55" s="0" t="inlineStr">
        <is>
          <t/>
        </is>
      </c>
    </row>
  </sheetData>
  <pageMargins left="0.3" right="0.3" top="0.5" bottom="0.5" header="0.2" footer="0.2"/>
</worksheet>
</file>