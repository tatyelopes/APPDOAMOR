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16/09/2026 20:39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Mestre'!A2:A140)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Mestre'!I2:I140,"Concluído")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Mestre'!I2:I140,"Em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Mestre'!I2:I140,"Não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Mestre'!M2:M140)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Mestre'!J2:J140)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Mestre'!B2:B140,"Descoberta")</f>
        <v>0</v>
      </c>
      <c r="C12" s="2">
        <f>COUNTIFS('Plano Mestre'!B2:B140,"Descoberta",'Plano Mestre'!I2:I140,"Concluído")</f>
        <v>0</v>
      </c>
    </row>
    <row r="13">
      <c r="A13" s="0" t="inlineStr">
        <is>
          <t>Planejamento</t>
        </is>
      </c>
      <c r="B13" s="2">
        <f>COUNTIF('Plano Mestre'!B2:B140,"Planejamento")</f>
        <v>0</v>
      </c>
      <c r="C13" s="2">
        <f>COUNTIFS('Plano Mestre'!B2:B140,"Planejamento",'Plano Mestre'!I2:I140,"Concluído")</f>
        <v>0</v>
      </c>
    </row>
    <row r="14">
      <c r="A14" s="0" t="inlineStr">
        <is>
          <t>Marca</t>
        </is>
      </c>
      <c r="B14" s="2">
        <f>COUNTIF('Plano Mestre'!B2:B140,"Marca")</f>
        <v>0</v>
      </c>
      <c r="C14" s="2">
        <f>COUNTIFS('Plano Mestre'!B2:B140,"Marca",'Plano Mestre'!I2:I140,"Concluído")</f>
        <v>0</v>
      </c>
    </row>
    <row r="15">
      <c r="A15" s="0" t="inlineStr">
        <is>
          <t>UX/UI</t>
        </is>
      </c>
      <c r="B15" s="2">
        <f>COUNTIF('Plano Mestre'!B2:B140,"UX/UI")</f>
        <v>0</v>
      </c>
      <c r="C15" s="2">
        <f>COUNTIFS('Plano Mestre'!B2:B140,"UX/UI",'Plano Mestre'!I2:I140,"Concluído")</f>
        <v>0</v>
      </c>
    </row>
    <row r="16">
      <c r="A16" s="0" t="inlineStr">
        <is>
          <t>Arquitetura</t>
        </is>
      </c>
      <c r="B16" s="2">
        <f>COUNTIF('Plano Mestre'!B2:B140,"Arquitetura")</f>
        <v>0</v>
      </c>
      <c r="C16" s="2">
        <f>COUNTIFS('Plano Mestre'!B2:B140,"Arquitetura",'Plano Mestre'!I2:I140,"Concluído")</f>
        <v>0</v>
      </c>
    </row>
    <row r="17">
      <c r="A17" s="0" t="inlineStr">
        <is>
          <t>Infraestrutura</t>
        </is>
      </c>
      <c r="B17" s="2">
        <f>COUNTIF('Plano Mestre'!B2:B140,"Infraestrutura")</f>
        <v>0</v>
      </c>
      <c r="C17" s="2">
        <f>COUNTIFS('Plano Mestre'!B2:B140,"Infraestrutura",'Plano Mestre'!I2:I140,"Concluído")</f>
        <v>0</v>
      </c>
    </row>
    <row r="18">
      <c r="A18" s="0" t="inlineStr">
        <is>
          <t>Backend</t>
        </is>
      </c>
      <c r="B18" s="2">
        <f>COUNTIF('Plano Mestre'!B2:B140,"Backend")</f>
        <v>0</v>
      </c>
      <c r="C18" s="2">
        <f>COUNTIFS('Plano Mestre'!B2:B140,"Backend",'Plano Mestre'!I2:I140,"Concluído")</f>
        <v>0</v>
      </c>
    </row>
    <row r="19">
      <c r="A19" s="0" t="inlineStr">
        <is>
          <t>Frontend</t>
        </is>
      </c>
      <c r="B19" s="2">
        <f>COUNTIF('Plano Mestre'!B2:B140,"Frontend")</f>
        <v>0</v>
      </c>
      <c r="C19" s="2">
        <f>COUNTIFS('Plano Mestre'!B2:B140,"Frontend",'Plano Mestre'!I2:I140,"Concluído")</f>
        <v>0</v>
      </c>
    </row>
    <row r="20">
      <c r="A20" s="0" t="inlineStr">
        <is>
          <t>Conteúdo</t>
        </is>
      </c>
      <c r="B20" s="2">
        <f>COUNTIF('Plano Mestre'!B2:B140,"Conteúdo")</f>
        <v>0</v>
      </c>
      <c r="C20" s="2">
        <f>COUNTIFS('Plano Mestre'!B2:B140,"Conteúdo",'Plano Mestre'!I2:I140,"Concluído")</f>
        <v>0</v>
      </c>
    </row>
    <row r="21">
      <c r="A21" s="0" t="inlineStr">
        <is>
          <t>Qualidade</t>
        </is>
      </c>
      <c r="B21" s="2">
        <f>COUNTIF('Plano Mestre'!B2:B140,"Qualidade")</f>
        <v>0</v>
      </c>
      <c r="C21" s="2">
        <f>COUNTIFS('Plano Mestre'!B2:B140,"Qualidade",'Plano Mestre'!I2:I140,"Concluído")</f>
        <v>0</v>
      </c>
    </row>
    <row r="22">
      <c r="A22" s="0" t="inlineStr">
        <is>
          <t>Jurídico</t>
        </is>
      </c>
      <c r="B22" s="2">
        <f>COUNTIF('Plano Mestre'!B2:B140,"Jurídico")</f>
        <v>0</v>
      </c>
      <c r="C22" s="2">
        <f>COUNTIFS('Plano Mestre'!B2:B140,"Jurídico",'Plano Mestre'!I2:I140,"Concluído")</f>
        <v>0</v>
      </c>
    </row>
    <row r="23">
      <c r="A23" s="0" t="inlineStr">
        <is>
          <t>Lançamento</t>
        </is>
      </c>
      <c r="B23" s="2">
        <f>COUNTIF('Plano Mestre'!B2:B140,"Lançamento")</f>
        <v>0</v>
      </c>
      <c r="C23" s="2">
        <f>COUNTIFS('Plano Mestre'!B2:B140,"Lançamento",'Plano Mestre'!I2:I140,"Concluído")</f>
        <v>0</v>
      </c>
    </row>
    <row r="24">
      <c r="A24" s="0" t="inlineStr">
        <is>
          <t>Pós-lançamento</t>
        </is>
      </c>
      <c r="B24" s="2">
        <f>COUNTIF('Plano Mestre'!B2:B140,"Pós-lançamento")</f>
        <v>0</v>
      </c>
      <c r="C24" s="2">
        <f>COUNTIFS('Plano Mestre'!B2:B140,"Pós-lançamento",'Plano Mestre'!I2:I140,"Concluído")</f>
        <v>0</v>
      </c>
    </row>
    <row r="25">
      <c r="A25" s="0" t="inlineStr">
        <is>
          <t>MPV de teste</t>
        </is>
      </c>
      <c r="B25" s="2">
        <f>COUNTIF('Plano Mestre'!B2:B140,"MPV de teste")</f>
        <v>0</v>
      </c>
      <c r="C25" s="2">
        <f>COUNTIFS('Plano Mestre'!B2:B140,"MPV de teste",'Plano Mestre'!I2:I140,"Concluído")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22 ameaças 29 controles 20 testes gates de piloto e riscos residuais - 13 ameaças críticas 8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Não iniciado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</v>
      </c>
      <c r="N42" s="0" t="inlineStr">
        <is>
          <t>Provisionar PostgreSQL local staging e production com identidades distintas mesma versão principal e migrações conforme docs/AMBIENTES.md - implementar DATABASE_URL validar conexão integridade e concorrência - JSON atual sem transações fica restrito ao protótipo local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três sinais e sugestão opcional exceções e critérios de aceite — atualizado em 16/09/2026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e integrado ao registro central do jogo concluído clareza descoberta ou conexão e intenção de jogar novamente sem conteúdo das rodadas — concluído antecipadamente em 12/09/2026 e integrado em 16/09/2026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em docs/VALIDACAO-MOBILE-MPV-2026-09-14.md — MOB-01 a MOB-03 resolvidos, sem overflow ou exposição do nome do aplicativo e com toque pulo confirmação rotação fluxos completos e reinício aprovados — pendente somente passagem física em Chrome Android e Safari iOS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Validadores cobrem caminhos felizes pulo limpeza de escolha reinício cancelamento de saída sugestão opcional persistência exportação e serviço integrado de produção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Em andamento</t>
        </is>
      </c>
      <c r="J136" s="0">
        <v>4</v>
      </c>
      <c r="K136" s="0" t="inlineStr">
        <is>
          <t>16/09/2026</t>
        </is>
      </c>
      <c r="L136" s="0" t="inlineStr">
        <is>
          <t>22/09/2026</t>
        </is>
      </c>
      <c r="M136" s="3">
        <v>0.5</v>
      </c>
      <c r="N136" s="0" t="inlineStr">
        <is>
          <t>Serviço único preparado e Blueprint do Render definido na região Virginia com plano pago disco persistente de 1 GB sonda de saúde CORS restrito bloqueio de indexação e segredo gerado — workspace autenticado e aguardando cadastro de pagamento deploy HTTPS e validação do endereço final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os três sinais do produto com sugestão de melhoria opcional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e retenção no JSON além de exportação CSV protegida por token e testes automatizados — concluído em 16/09/2026</t>
        </is>
      </c>
    </row>
  </sheetData>
  <autoFilter ref="A1:N140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Migrar para PostgreSQL antes da publicação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aplicar retenção de 90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